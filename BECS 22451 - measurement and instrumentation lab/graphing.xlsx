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INU UNI\UOK\Academic\Year 2\sem2\BECS 22451 - measurement and instrumentation lab\"/>
    </mc:Choice>
  </mc:AlternateContent>
  <xr:revisionPtr revIDLastSave="0" documentId="13_ncr:1_{861D9CCB-DB13-484A-A6DB-B57FF13C1D3A}" xr6:coauthVersionLast="47" xr6:coauthVersionMax="47" xr10:uidLastSave="{00000000-0000-0000-0000-000000000000}"/>
  <bookViews>
    <workbookView xWindow="-120" yWindow="-120" windowWidth="29040" windowHeight="15720" xr2:uid="{A5421E39-65CC-4C3A-937A-56C2AAC42A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7" i="1" l="1"/>
</calcChain>
</file>

<file path=xl/sharedStrings.xml><?xml version="1.0" encoding="utf-8"?>
<sst xmlns="http://schemas.openxmlformats.org/spreadsheetml/2006/main" count="28" uniqueCount="26">
  <si>
    <t>frequency</t>
  </si>
  <si>
    <t>00 ohms</t>
  </si>
  <si>
    <t>150 ohms</t>
  </si>
  <si>
    <t>50 ohms</t>
  </si>
  <si>
    <t>100 ohms</t>
  </si>
  <si>
    <t>200 ohms</t>
  </si>
  <si>
    <t>250 ohms</t>
  </si>
  <si>
    <t>CX</t>
  </si>
  <si>
    <t>V</t>
  </si>
  <si>
    <t>Charging time</t>
  </si>
  <si>
    <t>Voltage</t>
  </si>
  <si>
    <t>Charging Time (s)</t>
  </si>
  <si>
    <t>Corrected Voltage (V)</t>
  </si>
  <si>
    <t>Corrected Charge (Q) (Coulombs)</t>
  </si>
  <si>
    <t>Voltage (V)</t>
  </si>
  <si>
    <t>Charge (Q) (Coulombs)</t>
  </si>
  <si>
    <t>Charge</t>
  </si>
  <si>
    <t>Temp</t>
  </si>
  <si>
    <t>increasing</t>
  </si>
  <si>
    <t>decreasing</t>
  </si>
  <si>
    <t>Input Frequency</t>
  </si>
  <si>
    <t>Output voltages</t>
  </si>
  <si>
    <t>Input Frequency (Hz)</t>
  </si>
  <si>
    <t>Output Voltage (mV)</t>
  </si>
  <si>
    <t>Gain (Vout/Vin)</t>
  </si>
  <si>
    <t>Gain (dB)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</si>
</sst>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0034171187569197E-2"/>
          <c:y val="0.11044077134986226"/>
          <c:w val="0.93107576460596919"/>
          <c:h val="0.83413700353571507"/>
        </c:manualLayout>
      </c:layout>
      <c:scatterChart>
        <c:scatterStyle val="smoothMarker"/>
        <c:varyColors val="0"/>
        <c:ser>
          <c:idx val="0"/>
          <c:order val="0"/>
          <c:tx>
            <c:v>vpp vs frequency for 0ohms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Sheet1!$A$2:$A$26</c:f>
              <c:numCache>
                <c:formatCode>General</c:formatCode>
                <c:ptCount val="25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  <c:pt idx="10">
                  <c:v>11000</c:v>
                </c:pt>
                <c:pt idx="11">
                  <c:v>12000</c:v>
                </c:pt>
                <c:pt idx="12">
                  <c:v>13000</c:v>
                </c:pt>
                <c:pt idx="13">
                  <c:v>14000</c:v>
                </c:pt>
                <c:pt idx="14">
                  <c:v>15000</c:v>
                </c:pt>
                <c:pt idx="15">
                  <c:v>16000</c:v>
                </c:pt>
                <c:pt idx="16">
                  <c:v>17000</c:v>
                </c:pt>
                <c:pt idx="17">
                  <c:v>18000</c:v>
                </c:pt>
                <c:pt idx="18">
                  <c:v>19000</c:v>
                </c:pt>
                <c:pt idx="19">
                  <c:v>20000</c:v>
                </c:pt>
                <c:pt idx="20">
                  <c:v>21000</c:v>
                </c:pt>
                <c:pt idx="21">
                  <c:v>22000</c:v>
                </c:pt>
                <c:pt idx="22">
                  <c:v>23000</c:v>
                </c:pt>
                <c:pt idx="23">
                  <c:v>24000</c:v>
                </c:pt>
                <c:pt idx="24">
                  <c:v>25000</c:v>
                </c:pt>
              </c:numCache>
            </c:numRef>
          </c:xVal>
          <c:yVal>
            <c:numRef>
              <c:f>Sheet1!$B$2:$B$26</c:f>
              <c:numCache>
                <c:formatCode>General</c:formatCode>
                <c:ptCount val="25"/>
                <c:pt idx="0">
                  <c:v>0.14199999999999999</c:v>
                </c:pt>
                <c:pt idx="1">
                  <c:v>0.27600000000000002</c:v>
                </c:pt>
                <c:pt idx="2">
                  <c:v>0.42399999999999999</c:v>
                </c:pt>
                <c:pt idx="3">
                  <c:v>0.59199999999999997</c:v>
                </c:pt>
                <c:pt idx="4">
                  <c:v>0.76</c:v>
                </c:pt>
                <c:pt idx="5">
                  <c:v>0.93600000000000005</c:v>
                </c:pt>
                <c:pt idx="6">
                  <c:v>1.1499999999999999</c:v>
                </c:pt>
                <c:pt idx="7">
                  <c:v>1.36</c:v>
                </c:pt>
                <c:pt idx="8">
                  <c:v>1.54</c:v>
                </c:pt>
                <c:pt idx="9">
                  <c:v>1.74</c:v>
                </c:pt>
                <c:pt idx="10">
                  <c:v>1.86</c:v>
                </c:pt>
                <c:pt idx="11">
                  <c:v>1.9</c:v>
                </c:pt>
                <c:pt idx="12">
                  <c:v>1.85</c:v>
                </c:pt>
                <c:pt idx="13">
                  <c:v>1.77</c:v>
                </c:pt>
                <c:pt idx="14">
                  <c:v>1.66</c:v>
                </c:pt>
                <c:pt idx="15">
                  <c:v>1.54</c:v>
                </c:pt>
                <c:pt idx="16">
                  <c:v>1.43</c:v>
                </c:pt>
                <c:pt idx="17">
                  <c:v>1.32</c:v>
                </c:pt>
                <c:pt idx="18">
                  <c:v>1.24</c:v>
                </c:pt>
                <c:pt idx="19">
                  <c:v>1.1499999999999999</c:v>
                </c:pt>
                <c:pt idx="20">
                  <c:v>1.08</c:v>
                </c:pt>
                <c:pt idx="21">
                  <c:v>1</c:v>
                </c:pt>
                <c:pt idx="22">
                  <c:v>0.96</c:v>
                </c:pt>
                <c:pt idx="23">
                  <c:v>0.9</c:v>
                </c:pt>
                <c:pt idx="24">
                  <c:v>0.66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E29-40E7-896F-AA1F3651CB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5869583"/>
        <c:axId val="1745870063"/>
      </c:scatterChart>
      <c:valAx>
        <c:axId val="1745869583"/>
        <c:scaling>
          <c:logBase val="10"/>
          <c:orientation val="minMax"/>
          <c:max val="25000"/>
          <c:min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accent2">
                  <a:lumMod val="75000"/>
                  <a:alpha val="60000"/>
                </a:schemeClr>
              </a:solidFill>
              <a:round/>
            </a:ln>
            <a:effectLst/>
          </c:spPr>
        </c:minorGridlines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870063"/>
        <c:crosses val="autoZero"/>
        <c:crossBetween val="midCat"/>
      </c:valAx>
      <c:valAx>
        <c:axId val="1745870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8695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250 ohms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Sheet1!$A$2:$A$26</c:f>
              <c:numCache>
                <c:formatCode>General</c:formatCode>
                <c:ptCount val="25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  <c:pt idx="10">
                  <c:v>11000</c:v>
                </c:pt>
                <c:pt idx="11">
                  <c:v>12000</c:v>
                </c:pt>
                <c:pt idx="12">
                  <c:v>13000</c:v>
                </c:pt>
                <c:pt idx="13">
                  <c:v>14000</c:v>
                </c:pt>
                <c:pt idx="14">
                  <c:v>15000</c:v>
                </c:pt>
                <c:pt idx="15">
                  <c:v>16000</c:v>
                </c:pt>
                <c:pt idx="16">
                  <c:v>17000</c:v>
                </c:pt>
                <c:pt idx="17">
                  <c:v>18000</c:v>
                </c:pt>
                <c:pt idx="18">
                  <c:v>19000</c:v>
                </c:pt>
                <c:pt idx="19">
                  <c:v>20000</c:v>
                </c:pt>
                <c:pt idx="20">
                  <c:v>21000</c:v>
                </c:pt>
                <c:pt idx="21">
                  <c:v>22000</c:v>
                </c:pt>
                <c:pt idx="22">
                  <c:v>23000</c:v>
                </c:pt>
                <c:pt idx="23">
                  <c:v>24000</c:v>
                </c:pt>
                <c:pt idx="24">
                  <c:v>25000</c:v>
                </c:pt>
              </c:numCache>
            </c:numRef>
          </c:xVal>
          <c:yVal>
            <c:numRef>
              <c:f>Sheet1!$G$2:$G$26</c:f>
              <c:numCache>
                <c:formatCode>General</c:formatCode>
                <c:ptCount val="25"/>
                <c:pt idx="0">
                  <c:v>0.11</c:v>
                </c:pt>
                <c:pt idx="1">
                  <c:v>0.27600000000000002</c:v>
                </c:pt>
                <c:pt idx="2">
                  <c:v>0.41599999999999998</c:v>
                </c:pt>
                <c:pt idx="3">
                  <c:v>0.57599999999999996</c:v>
                </c:pt>
                <c:pt idx="4">
                  <c:v>0.72799999999999998</c:v>
                </c:pt>
                <c:pt idx="5">
                  <c:v>0.88</c:v>
                </c:pt>
                <c:pt idx="6">
                  <c:v>0.90400000000000003</c:v>
                </c:pt>
                <c:pt idx="7">
                  <c:v>1.05</c:v>
                </c:pt>
                <c:pt idx="8">
                  <c:v>1.21</c:v>
                </c:pt>
                <c:pt idx="9">
                  <c:v>1.35</c:v>
                </c:pt>
                <c:pt idx="10">
                  <c:v>1.45</c:v>
                </c:pt>
                <c:pt idx="11">
                  <c:v>1.52</c:v>
                </c:pt>
                <c:pt idx="12">
                  <c:v>1.55</c:v>
                </c:pt>
                <c:pt idx="13">
                  <c:v>1.53</c:v>
                </c:pt>
                <c:pt idx="14">
                  <c:v>1.49</c:v>
                </c:pt>
                <c:pt idx="15">
                  <c:v>1.42</c:v>
                </c:pt>
                <c:pt idx="16">
                  <c:v>1.34</c:v>
                </c:pt>
                <c:pt idx="17">
                  <c:v>1.24</c:v>
                </c:pt>
                <c:pt idx="18">
                  <c:v>1.2</c:v>
                </c:pt>
                <c:pt idx="19">
                  <c:v>1.1200000000000001</c:v>
                </c:pt>
                <c:pt idx="20">
                  <c:v>1.05</c:v>
                </c:pt>
                <c:pt idx="21">
                  <c:v>1</c:v>
                </c:pt>
                <c:pt idx="22">
                  <c:v>0.96</c:v>
                </c:pt>
                <c:pt idx="23">
                  <c:v>0.91200000000000003</c:v>
                </c:pt>
                <c:pt idx="24">
                  <c:v>0.81599999999999995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498-4A5F-91ED-861D4CF7A4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371343"/>
        <c:axId val="1643298495"/>
      </c:scatterChart>
      <c:valAx>
        <c:axId val="169371343"/>
        <c:scaling>
          <c:logBase val="10"/>
          <c:orientation val="minMax"/>
          <c:min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2">
                  <a:lumMod val="50000"/>
                  <a:lumOff val="50000"/>
                </a:schemeClr>
              </a:solidFill>
              <a:round/>
            </a:ln>
            <a:effectLst/>
          </c:spPr>
        </c:minorGridlines>
        <c:numFmt formatCode="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3298495"/>
        <c:crosses val="autoZero"/>
        <c:crossBetween val="midCat"/>
      </c:valAx>
      <c:valAx>
        <c:axId val="1643298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2">
                  <a:lumMod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3713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200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Sheet1!$A$2:$A$26</c:f>
              <c:numCache>
                <c:formatCode>General</c:formatCode>
                <c:ptCount val="25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  <c:pt idx="10">
                  <c:v>11000</c:v>
                </c:pt>
                <c:pt idx="11">
                  <c:v>12000</c:v>
                </c:pt>
                <c:pt idx="12">
                  <c:v>13000</c:v>
                </c:pt>
                <c:pt idx="13">
                  <c:v>14000</c:v>
                </c:pt>
                <c:pt idx="14">
                  <c:v>15000</c:v>
                </c:pt>
                <c:pt idx="15">
                  <c:v>16000</c:v>
                </c:pt>
                <c:pt idx="16">
                  <c:v>17000</c:v>
                </c:pt>
                <c:pt idx="17">
                  <c:v>18000</c:v>
                </c:pt>
                <c:pt idx="18">
                  <c:v>19000</c:v>
                </c:pt>
                <c:pt idx="19">
                  <c:v>20000</c:v>
                </c:pt>
                <c:pt idx="20">
                  <c:v>21000</c:v>
                </c:pt>
                <c:pt idx="21">
                  <c:v>22000</c:v>
                </c:pt>
                <c:pt idx="22">
                  <c:v>23000</c:v>
                </c:pt>
                <c:pt idx="23">
                  <c:v>24000</c:v>
                </c:pt>
                <c:pt idx="24">
                  <c:v>25000</c:v>
                </c:pt>
              </c:numCache>
            </c:numRef>
          </c:xVal>
          <c:yVal>
            <c:numRef>
              <c:f>Sheet1!$F$2:$F$26</c:f>
              <c:numCache>
                <c:formatCode>General</c:formatCode>
                <c:ptCount val="25"/>
                <c:pt idx="0">
                  <c:v>0.14399999999999999</c:v>
                </c:pt>
                <c:pt idx="1">
                  <c:v>0.27600000000000002</c:v>
                </c:pt>
                <c:pt idx="2">
                  <c:v>0.41399999999999998</c:v>
                </c:pt>
                <c:pt idx="3">
                  <c:v>0.57599999999999996</c:v>
                </c:pt>
                <c:pt idx="4">
                  <c:v>0.72</c:v>
                </c:pt>
                <c:pt idx="5">
                  <c:v>0.90469999999999995</c:v>
                </c:pt>
                <c:pt idx="6">
                  <c:v>1.06</c:v>
                </c:pt>
                <c:pt idx="7">
                  <c:v>1.23</c:v>
                </c:pt>
                <c:pt idx="8">
                  <c:v>1.39</c:v>
                </c:pt>
                <c:pt idx="9">
                  <c:v>1.44</c:v>
                </c:pt>
                <c:pt idx="10">
                  <c:v>1.59</c:v>
                </c:pt>
                <c:pt idx="11">
                  <c:v>1.6</c:v>
                </c:pt>
                <c:pt idx="12">
                  <c:v>1.58</c:v>
                </c:pt>
                <c:pt idx="13">
                  <c:v>1.52</c:v>
                </c:pt>
                <c:pt idx="14">
                  <c:v>1.44</c:v>
                </c:pt>
                <c:pt idx="15">
                  <c:v>1.36</c:v>
                </c:pt>
                <c:pt idx="16">
                  <c:v>1.29</c:v>
                </c:pt>
                <c:pt idx="17">
                  <c:v>1.21</c:v>
                </c:pt>
                <c:pt idx="18">
                  <c:v>1.1399999999999999</c:v>
                </c:pt>
                <c:pt idx="19">
                  <c:v>1.07</c:v>
                </c:pt>
                <c:pt idx="20">
                  <c:v>1.02</c:v>
                </c:pt>
                <c:pt idx="21">
                  <c:v>0.96799999999999997</c:v>
                </c:pt>
                <c:pt idx="22">
                  <c:v>0.91200000000000003</c:v>
                </c:pt>
                <c:pt idx="23">
                  <c:v>0.872</c:v>
                </c:pt>
                <c:pt idx="24">
                  <c:v>0.82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0B8-4C4D-9E59-0DB06CB63B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3123375"/>
        <c:axId val="1643123855"/>
      </c:scatterChart>
      <c:valAx>
        <c:axId val="1643123375"/>
        <c:scaling>
          <c:logBase val="10"/>
          <c:orientation val="minMax"/>
          <c:min val="1000"/>
        </c:scaling>
        <c:delete val="0"/>
        <c:axPos val="b"/>
        <c:majorGridlines>
          <c:spPr>
            <a:ln w="9525" cap="flat" cmpd="sng" algn="ctr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accent2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3123855"/>
        <c:crosses val="autoZero"/>
        <c:crossBetween val="midCat"/>
      </c:valAx>
      <c:valAx>
        <c:axId val="1643123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31233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Sheet1!$J$5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Sheet1!$K$5</c:f>
              <c:numCache>
                <c:formatCode>General</c:formatCode>
                <c:ptCount val="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F02-4087-B2ED-95C604A70213}"/>
            </c:ext>
          </c:extLst>
        </c:ser>
        <c:ser>
          <c:idx val="1"/>
          <c:order val="1"/>
          <c:tx>
            <c:v>150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Sheet1!$A$2:$A$26</c:f>
              <c:numCache>
                <c:formatCode>General</c:formatCode>
                <c:ptCount val="25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  <c:pt idx="10">
                  <c:v>11000</c:v>
                </c:pt>
                <c:pt idx="11">
                  <c:v>12000</c:v>
                </c:pt>
                <c:pt idx="12">
                  <c:v>13000</c:v>
                </c:pt>
                <c:pt idx="13">
                  <c:v>14000</c:v>
                </c:pt>
                <c:pt idx="14">
                  <c:v>15000</c:v>
                </c:pt>
                <c:pt idx="15">
                  <c:v>16000</c:v>
                </c:pt>
                <c:pt idx="16">
                  <c:v>17000</c:v>
                </c:pt>
                <c:pt idx="17">
                  <c:v>18000</c:v>
                </c:pt>
                <c:pt idx="18">
                  <c:v>19000</c:v>
                </c:pt>
                <c:pt idx="19">
                  <c:v>20000</c:v>
                </c:pt>
                <c:pt idx="20">
                  <c:v>21000</c:v>
                </c:pt>
                <c:pt idx="21">
                  <c:v>22000</c:v>
                </c:pt>
                <c:pt idx="22">
                  <c:v>23000</c:v>
                </c:pt>
                <c:pt idx="23">
                  <c:v>24000</c:v>
                </c:pt>
                <c:pt idx="24">
                  <c:v>25000</c:v>
                </c:pt>
              </c:numCache>
            </c:numRef>
          </c:xVal>
          <c:yVal>
            <c:numRef>
              <c:f>Sheet1!$E$2:$E$26</c:f>
              <c:numCache>
                <c:formatCode>General</c:formatCode>
                <c:ptCount val="25"/>
                <c:pt idx="0">
                  <c:v>0.14599999999999999</c:v>
                </c:pt>
                <c:pt idx="1">
                  <c:v>0.27600000000000002</c:v>
                </c:pt>
                <c:pt idx="2">
                  <c:v>0.42199999999999999</c:v>
                </c:pt>
                <c:pt idx="3">
                  <c:v>0.57999999999999996</c:v>
                </c:pt>
                <c:pt idx="4">
                  <c:v>0.72</c:v>
                </c:pt>
                <c:pt idx="5">
                  <c:v>0.9</c:v>
                </c:pt>
                <c:pt idx="6">
                  <c:v>1.08</c:v>
                </c:pt>
                <c:pt idx="7">
                  <c:v>1.22</c:v>
                </c:pt>
                <c:pt idx="8">
                  <c:v>1.42</c:v>
                </c:pt>
                <c:pt idx="9">
                  <c:v>1.5</c:v>
                </c:pt>
                <c:pt idx="10">
                  <c:v>1.62</c:v>
                </c:pt>
                <c:pt idx="11">
                  <c:v>1.64</c:v>
                </c:pt>
                <c:pt idx="12">
                  <c:v>1.6</c:v>
                </c:pt>
                <c:pt idx="13">
                  <c:v>1.56</c:v>
                </c:pt>
                <c:pt idx="14">
                  <c:v>1.46</c:v>
                </c:pt>
                <c:pt idx="15">
                  <c:v>1.36</c:v>
                </c:pt>
                <c:pt idx="16">
                  <c:v>1.31</c:v>
                </c:pt>
                <c:pt idx="17">
                  <c:v>1.22</c:v>
                </c:pt>
                <c:pt idx="18">
                  <c:v>1.1399999999999999</c:v>
                </c:pt>
                <c:pt idx="19">
                  <c:v>1.1000000000000001</c:v>
                </c:pt>
                <c:pt idx="20">
                  <c:v>1.02</c:v>
                </c:pt>
                <c:pt idx="21">
                  <c:v>0.96</c:v>
                </c:pt>
                <c:pt idx="22">
                  <c:v>0.9</c:v>
                </c:pt>
                <c:pt idx="23">
                  <c:v>0.86</c:v>
                </c:pt>
                <c:pt idx="24">
                  <c:v>0.82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F02-4087-B2ED-95C604A702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4026063"/>
        <c:axId val="294021743"/>
      </c:scatterChart>
      <c:valAx>
        <c:axId val="294026063"/>
        <c:scaling>
          <c:logBase val="10"/>
          <c:orientation val="minMax"/>
          <c:max val="100000"/>
          <c:min val="1000"/>
        </c:scaling>
        <c:delete val="0"/>
        <c:axPos val="b"/>
        <c:majorGridlines>
          <c:spPr>
            <a:ln w="9525" cap="flat" cmpd="sng" algn="ctr">
              <a:solidFill>
                <a:srgbClr val="FF0000"/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rgbClr val="0070C0"/>
              </a:solidFill>
              <a:round/>
            </a:ln>
            <a:effectLst/>
          </c:spPr>
        </c:min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4021743"/>
        <c:crosses val="autoZero"/>
        <c:crossBetween val="midCat"/>
      </c:valAx>
      <c:valAx>
        <c:axId val="294021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40260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100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Sheet1!$A$2:$A$26</c:f>
              <c:numCache>
                <c:formatCode>General</c:formatCode>
                <c:ptCount val="25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  <c:pt idx="10">
                  <c:v>11000</c:v>
                </c:pt>
                <c:pt idx="11">
                  <c:v>12000</c:v>
                </c:pt>
                <c:pt idx="12">
                  <c:v>13000</c:v>
                </c:pt>
                <c:pt idx="13">
                  <c:v>14000</c:v>
                </c:pt>
                <c:pt idx="14">
                  <c:v>15000</c:v>
                </c:pt>
                <c:pt idx="15">
                  <c:v>16000</c:v>
                </c:pt>
                <c:pt idx="16">
                  <c:v>17000</c:v>
                </c:pt>
                <c:pt idx="17">
                  <c:v>18000</c:v>
                </c:pt>
                <c:pt idx="18">
                  <c:v>19000</c:v>
                </c:pt>
                <c:pt idx="19">
                  <c:v>20000</c:v>
                </c:pt>
                <c:pt idx="20">
                  <c:v>21000</c:v>
                </c:pt>
                <c:pt idx="21">
                  <c:v>22000</c:v>
                </c:pt>
                <c:pt idx="22">
                  <c:v>23000</c:v>
                </c:pt>
                <c:pt idx="23">
                  <c:v>24000</c:v>
                </c:pt>
                <c:pt idx="24">
                  <c:v>25000</c:v>
                </c:pt>
              </c:numCache>
            </c:numRef>
          </c:xVal>
          <c:yVal>
            <c:numRef>
              <c:f>Sheet1!$D$2:$D$26</c:f>
              <c:numCache>
                <c:formatCode>General</c:formatCode>
                <c:ptCount val="25"/>
                <c:pt idx="0">
                  <c:v>0.14599999999999999</c:v>
                </c:pt>
                <c:pt idx="1">
                  <c:v>0.27600000000000002</c:v>
                </c:pt>
                <c:pt idx="2">
                  <c:v>0.44</c:v>
                </c:pt>
                <c:pt idx="3">
                  <c:v>0.58099999999999996</c:v>
                </c:pt>
                <c:pt idx="4">
                  <c:v>0.72</c:v>
                </c:pt>
                <c:pt idx="5">
                  <c:v>0.96</c:v>
                </c:pt>
                <c:pt idx="6">
                  <c:v>1.1000000000000001</c:v>
                </c:pt>
                <c:pt idx="7">
                  <c:v>1.28</c:v>
                </c:pt>
                <c:pt idx="8">
                  <c:v>1.44</c:v>
                </c:pt>
                <c:pt idx="9">
                  <c:v>1.58</c:v>
                </c:pt>
                <c:pt idx="10">
                  <c:v>1.66</c:v>
                </c:pt>
                <c:pt idx="11">
                  <c:v>1.72</c:v>
                </c:pt>
                <c:pt idx="12">
                  <c:v>1.66</c:v>
                </c:pt>
                <c:pt idx="13">
                  <c:v>1.62</c:v>
                </c:pt>
                <c:pt idx="14">
                  <c:v>1.54</c:v>
                </c:pt>
                <c:pt idx="15">
                  <c:v>1.42</c:v>
                </c:pt>
                <c:pt idx="16">
                  <c:v>1.32</c:v>
                </c:pt>
                <c:pt idx="17">
                  <c:v>1.28</c:v>
                </c:pt>
                <c:pt idx="18">
                  <c:v>1.18</c:v>
                </c:pt>
                <c:pt idx="19">
                  <c:v>1.1000000000000001</c:v>
                </c:pt>
                <c:pt idx="20">
                  <c:v>1.04</c:v>
                </c:pt>
                <c:pt idx="21">
                  <c:v>1</c:v>
                </c:pt>
                <c:pt idx="22">
                  <c:v>0.99480000000000002</c:v>
                </c:pt>
                <c:pt idx="23">
                  <c:v>0.88</c:v>
                </c:pt>
                <c:pt idx="24">
                  <c:v>0.82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179-4658-A033-5F1D3D9E2F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8361007"/>
        <c:axId val="288360527"/>
      </c:scatterChart>
      <c:valAx>
        <c:axId val="288361007"/>
        <c:scaling>
          <c:logBase val="10"/>
          <c:orientation val="minMax"/>
          <c:min val="1000"/>
        </c:scaling>
        <c:delete val="0"/>
        <c:axPos val="b"/>
        <c:majorGridlines>
          <c:spPr>
            <a:ln w="9525" cap="flat" cmpd="sng" algn="ctr">
              <a:solidFill>
                <a:srgbClr val="FF0000"/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rgbClr val="00B0F0"/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8360527"/>
        <c:crosses val="autoZero"/>
        <c:crossBetween val="midCat"/>
      </c:valAx>
      <c:valAx>
        <c:axId val="288360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83610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Sheet1!$N$4:$N$12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</c:numCache>
            </c:numRef>
          </c:xVal>
          <c:yVal>
            <c:numRef>
              <c:f>Sheet1!$O$4:$O$12</c:f>
              <c:numCache>
                <c:formatCode>General</c:formatCode>
                <c:ptCount val="9"/>
                <c:pt idx="0">
                  <c:v>1.278</c:v>
                </c:pt>
                <c:pt idx="1">
                  <c:v>1.2649999999999999</c:v>
                </c:pt>
                <c:pt idx="2">
                  <c:v>1.2929999999999999</c:v>
                </c:pt>
                <c:pt idx="3">
                  <c:v>1.2989999999999999</c:v>
                </c:pt>
                <c:pt idx="4">
                  <c:v>1.302</c:v>
                </c:pt>
                <c:pt idx="5">
                  <c:v>1.302</c:v>
                </c:pt>
                <c:pt idx="6">
                  <c:v>1.306</c:v>
                </c:pt>
                <c:pt idx="7">
                  <c:v>1.3089999999999999</c:v>
                </c:pt>
                <c:pt idx="8">
                  <c:v>1.3149999999999999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88-4826-ADA4-17B4BE1E85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5365727"/>
        <c:axId val="1705366207"/>
      </c:scatterChart>
      <c:valAx>
        <c:axId val="1705365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accent1">
                  <a:lumMod val="50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accent1">
                  <a:lumMod val="50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366207"/>
        <c:crosses val="autoZero"/>
        <c:crossBetween val="midCat"/>
      </c:valAx>
      <c:valAx>
        <c:axId val="1705366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2"/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accent2"/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3657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Sheet1!$N$56:$N$64</c:f>
              <c:numCache>
                <c:formatCode>General</c:formatCode>
                <c:ptCount val="9"/>
                <c:pt idx="0">
                  <c:v>0.47599999999999998</c:v>
                </c:pt>
                <c:pt idx="1">
                  <c:v>0.90600000000000003</c:v>
                </c:pt>
                <c:pt idx="2">
                  <c:v>1.296</c:v>
                </c:pt>
                <c:pt idx="3">
                  <c:v>1.6479999999999999</c:v>
                </c:pt>
                <c:pt idx="4">
                  <c:v>1.9670000000000001</c:v>
                </c:pt>
                <c:pt idx="5">
                  <c:v>2.2559999999999998</c:v>
                </c:pt>
                <c:pt idx="6">
                  <c:v>2.5169999999999999</c:v>
                </c:pt>
                <c:pt idx="7">
                  <c:v>2.7530000000000001</c:v>
                </c:pt>
                <c:pt idx="8">
                  <c:v>2.9670000000000001</c:v>
                </c:pt>
              </c:numCache>
            </c:numRef>
          </c:xVal>
          <c:yVal>
            <c:numRef>
              <c:f>Sheet1!$M$56:$M$64</c:f>
              <c:numCache>
                <c:formatCode>General</c:formatCode>
                <c:ptCount val="9"/>
                <c:pt idx="0">
                  <c:v>1.1419999999999999</c:v>
                </c:pt>
                <c:pt idx="1">
                  <c:v>1.22</c:v>
                </c:pt>
                <c:pt idx="2">
                  <c:v>1.224</c:v>
                </c:pt>
                <c:pt idx="3">
                  <c:v>1.238</c:v>
                </c:pt>
                <c:pt idx="4">
                  <c:v>1.242</c:v>
                </c:pt>
                <c:pt idx="5">
                  <c:v>1.2549999999999999</c:v>
                </c:pt>
                <c:pt idx="6">
                  <c:v>1.2669999999999999</c:v>
                </c:pt>
                <c:pt idx="7">
                  <c:v>1.2749999999999999</c:v>
                </c:pt>
                <c:pt idx="8">
                  <c:v>1.2949999999999999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1F-4620-A35D-E854FFDF94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3187760"/>
        <c:axId val="563188240"/>
      </c:scatterChart>
      <c:valAx>
        <c:axId val="563187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3188240"/>
        <c:crosses val="autoZero"/>
        <c:crossBetween val="midCat"/>
      </c:valAx>
      <c:valAx>
        <c:axId val="563188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31877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1332714799"/>
        <c:axId val="1332721039"/>
      </c:scatterChart>
      <c:valAx>
        <c:axId val="1332714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2721039"/>
        <c:crosses val="autoZero"/>
        <c:crossBetween val="midCat"/>
      </c:valAx>
      <c:valAx>
        <c:axId val="1332721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27147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Sheet1!$D$88</c:f>
              <c:strCache>
                <c:ptCount val="1"/>
                <c:pt idx="0">
                  <c:v>increasing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Sheet1!$C$89:$C$107</c:f>
              <c:numCache>
                <c:formatCode>General</c:formatCode>
                <c:ptCount val="1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</c:numCache>
            </c:numRef>
          </c:xVal>
          <c:yVal>
            <c:numRef>
              <c:f>Sheet1!$D$89:$D$107</c:f>
              <c:numCache>
                <c:formatCode>General</c:formatCode>
                <c:ptCount val="19"/>
                <c:pt idx="0">
                  <c:v>5.431</c:v>
                </c:pt>
                <c:pt idx="1">
                  <c:v>5.423</c:v>
                </c:pt>
                <c:pt idx="2">
                  <c:v>5.74</c:v>
                </c:pt>
                <c:pt idx="3">
                  <c:v>5.8639999999999999</c:v>
                </c:pt>
                <c:pt idx="4">
                  <c:v>5.923</c:v>
                </c:pt>
                <c:pt idx="5">
                  <c:v>6.1269999999999998</c:v>
                </c:pt>
                <c:pt idx="6">
                  <c:v>6.2389999999999999</c:v>
                </c:pt>
                <c:pt idx="7">
                  <c:v>6.75</c:v>
                </c:pt>
                <c:pt idx="8">
                  <c:v>6.9409999999999998</c:v>
                </c:pt>
                <c:pt idx="9">
                  <c:v>7.0039999999999996</c:v>
                </c:pt>
                <c:pt idx="10">
                  <c:v>6.7220000000000004</c:v>
                </c:pt>
                <c:pt idx="11">
                  <c:v>7.0039999999999996</c:v>
                </c:pt>
                <c:pt idx="12">
                  <c:v>7.1929999999999996</c:v>
                </c:pt>
                <c:pt idx="13">
                  <c:v>7.3209999999999997</c:v>
                </c:pt>
                <c:pt idx="14">
                  <c:v>7.4660000000000002</c:v>
                </c:pt>
                <c:pt idx="15">
                  <c:v>7.5060000000000002</c:v>
                </c:pt>
                <c:pt idx="16">
                  <c:v>7.141</c:v>
                </c:pt>
                <c:pt idx="17">
                  <c:v>7.7009999999999996</c:v>
                </c:pt>
                <c:pt idx="18">
                  <c:v>7.9219999999999997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7E-4CDC-A571-509135C2EA6C}"/>
            </c:ext>
          </c:extLst>
        </c:ser>
        <c:ser>
          <c:idx val="1"/>
          <c:order val="1"/>
          <c:tx>
            <c:strRef>
              <c:f>Sheet1!$E$88</c:f>
              <c:strCache>
                <c:ptCount val="1"/>
                <c:pt idx="0">
                  <c:v>decreasing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Sheet1!$C$89:$C$107</c:f>
              <c:numCache>
                <c:formatCode>General</c:formatCode>
                <c:ptCount val="1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</c:numCache>
            </c:numRef>
          </c:xVal>
          <c:yVal>
            <c:numRef>
              <c:f>Sheet1!$E$89:$E$107</c:f>
              <c:numCache>
                <c:formatCode>General</c:formatCode>
                <c:ptCount val="19"/>
                <c:pt idx="0">
                  <c:v>4.7510000000000003</c:v>
                </c:pt>
                <c:pt idx="1">
                  <c:v>5.0860000000000003</c:v>
                </c:pt>
                <c:pt idx="2">
                  <c:v>5.0039999999999996</c:v>
                </c:pt>
                <c:pt idx="3">
                  <c:v>5.3239999999999998</c:v>
                </c:pt>
                <c:pt idx="4">
                  <c:v>5.5309999999999997</c:v>
                </c:pt>
                <c:pt idx="5">
                  <c:v>5.7960000000000003</c:v>
                </c:pt>
                <c:pt idx="6">
                  <c:v>5.7510000000000003</c:v>
                </c:pt>
                <c:pt idx="7">
                  <c:v>5.6669999999999998</c:v>
                </c:pt>
                <c:pt idx="8">
                  <c:v>5.7910000000000004</c:v>
                </c:pt>
                <c:pt idx="9">
                  <c:v>6.4189999999999996</c:v>
                </c:pt>
                <c:pt idx="10">
                  <c:v>5.9240000000000004</c:v>
                </c:pt>
                <c:pt idx="11">
                  <c:v>6.0039999999999996</c:v>
                </c:pt>
                <c:pt idx="12">
                  <c:v>6.4169999999999998</c:v>
                </c:pt>
                <c:pt idx="13">
                  <c:v>6.88</c:v>
                </c:pt>
                <c:pt idx="14">
                  <c:v>6.9420000000000002</c:v>
                </c:pt>
                <c:pt idx="15">
                  <c:v>7.0910000000000002</c:v>
                </c:pt>
                <c:pt idx="16">
                  <c:v>7.1289999999999996</c:v>
                </c:pt>
                <c:pt idx="17">
                  <c:v>7.2270000000000003</c:v>
                </c:pt>
                <c:pt idx="18">
                  <c:v>7.3410000000000002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67E-4CDC-A571-509135C2EA6C}"/>
            </c:ext>
          </c:extLst>
        </c:ser>
        <c:ser>
          <c:idx val="2"/>
          <c:order val="2"/>
          <c:tx>
            <c:strRef>
              <c:f>Sheet1!$F$88</c:f>
              <c:strCache>
                <c:ptCount val="1"/>
                <c:pt idx="0">
                  <c:v>increasing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Sheet1!$C$89:$C$107</c:f>
              <c:numCache>
                <c:formatCode>General</c:formatCode>
                <c:ptCount val="1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</c:numCache>
            </c:numRef>
          </c:xVal>
          <c:yVal>
            <c:numRef>
              <c:f>Sheet1!$F$89:$F$107</c:f>
              <c:numCache>
                <c:formatCode>General</c:formatCode>
                <c:ptCount val="19"/>
                <c:pt idx="0">
                  <c:v>6.0510000000000002</c:v>
                </c:pt>
                <c:pt idx="1">
                  <c:v>6.0460000000000003</c:v>
                </c:pt>
                <c:pt idx="2">
                  <c:v>6.2629999999999999</c:v>
                </c:pt>
                <c:pt idx="3">
                  <c:v>6.3070000000000004</c:v>
                </c:pt>
                <c:pt idx="4">
                  <c:v>6.4509999999999996</c:v>
                </c:pt>
                <c:pt idx="5">
                  <c:v>6.7610000000000001</c:v>
                </c:pt>
                <c:pt idx="6">
                  <c:v>6.9550000000000001</c:v>
                </c:pt>
                <c:pt idx="7">
                  <c:v>7.0019999999999998</c:v>
                </c:pt>
                <c:pt idx="8">
                  <c:v>7.02</c:v>
                </c:pt>
                <c:pt idx="9">
                  <c:v>7.2919999999999998</c:v>
                </c:pt>
                <c:pt idx="10">
                  <c:v>7.5090000000000003</c:v>
                </c:pt>
                <c:pt idx="11">
                  <c:v>7.4509999999999996</c:v>
                </c:pt>
                <c:pt idx="12">
                  <c:v>7.7290000000000001</c:v>
                </c:pt>
                <c:pt idx="13">
                  <c:v>7.86</c:v>
                </c:pt>
                <c:pt idx="14">
                  <c:v>8.0609999999999999</c:v>
                </c:pt>
                <c:pt idx="15">
                  <c:v>8.2639999999999993</c:v>
                </c:pt>
                <c:pt idx="16">
                  <c:v>8.44</c:v>
                </c:pt>
                <c:pt idx="17">
                  <c:v>8.5709999999999997</c:v>
                </c:pt>
                <c:pt idx="18">
                  <c:v>8.6310000000000002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67E-4CDC-A571-509135C2E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0735007"/>
        <c:axId val="1150734527"/>
      </c:scatterChart>
      <c:valAx>
        <c:axId val="11507350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734527"/>
        <c:crosses val="autoZero"/>
        <c:crossBetween val="midCat"/>
      </c:valAx>
      <c:valAx>
        <c:axId val="1150734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7350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Sheet1!$H$114:$H$150</c:f>
              <c:numCache>
                <c:formatCode>General</c:formatCode>
                <c:ptCount val="37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200</c:v>
                </c:pt>
                <c:pt idx="11">
                  <c:v>300</c:v>
                </c:pt>
                <c:pt idx="12">
                  <c:v>400</c:v>
                </c:pt>
                <c:pt idx="13">
                  <c:v>500</c:v>
                </c:pt>
                <c:pt idx="14">
                  <c:v>600</c:v>
                </c:pt>
                <c:pt idx="15">
                  <c:v>700</c:v>
                </c:pt>
                <c:pt idx="16">
                  <c:v>800</c:v>
                </c:pt>
                <c:pt idx="17">
                  <c:v>900</c:v>
                </c:pt>
                <c:pt idx="18">
                  <c:v>1000</c:v>
                </c:pt>
                <c:pt idx="19">
                  <c:v>2000</c:v>
                </c:pt>
                <c:pt idx="20">
                  <c:v>3000</c:v>
                </c:pt>
                <c:pt idx="21">
                  <c:v>4000</c:v>
                </c:pt>
                <c:pt idx="22">
                  <c:v>5000</c:v>
                </c:pt>
                <c:pt idx="23">
                  <c:v>6000</c:v>
                </c:pt>
                <c:pt idx="24">
                  <c:v>7000</c:v>
                </c:pt>
                <c:pt idx="25">
                  <c:v>8000</c:v>
                </c:pt>
                <c:pt idx="26">
                  <c:v>9000</c:v>
                </c:pt>
                <c:pt idx="27">
                  <c:v>10000</c:v>
                </c:pt>
                <c:pt idx="28">
                  <c:v>20000</c:v>
                </c:pt>
                <c:pt idx="29">
                  <c:v>30000</c:v>
                </c:pt>
                <c:pt idx="30">
                  <c:v>40000</c:v>
                </c:pt>
                <c:pt idx="31">
                  <c:v>50000</c:v>
                </c:pt>
                <c:pt idx="32">
                  <c:v>60000</c:v>
                </c:pt>
                <c:pt idx="33">
                  <c:v>70000</c:v>
                </c:pt>
                <c:pt idx="34">
                  <c:v>80000</c:v>
                </c:pt>
                <c:pt idx="35">
                  <c:v>90000</c:v>
                </c:pt>
                <c:pt idx="36">
                  <c:v>100000</c:v>
                </c:pt>
              </c:numCache>
            </c:numRef>
          </c:xVal>
          <c:yVal>
            <c:numRef>
              <c:f>Sheet1!$K$114:$K$150</c:f>
              <c:numCache>
                <c:formatCode>General</c:formatCode>
                <c:ptCount val="37"/>
                <c:pt idx="0">
                  <c:v>0.34100000000000003</c:v>
                </c:pt>
                <c:pt idx="1">
                  <c:v>0.34100000000000003</c:v>
                </c:pt>
                <c:pt idx="2">
                  <c:v>0.34100000000000003</c:v>
                </c:pt>
                <c:pt idx="3">
                  <c:v>0.34100000000000003</c:v>
                </c:pt>
                <c:pt idx="4">
                  <c:v>0.34100000000000003</c:v>
                </c:pt>
                <c:pt idx="5">
                  <c:v>0.34100000000000003</c:v>
                </c:pt>
                <c:pt idx="6">
                  <c:v>0.34100000000000003</c:v>
                </c:pt>
                <c:pt idx="7">
                  <c:v>0.34100000000000003</c:v>
                </c:pt>
                <c:pt idx="8">
                  <c:v>0.34100000000000003</c:v>
                </c:pt>
                <c:pt idx="9">
                  <c:v>0.34100000000000003</c:v>
                </c:pt>
                <c:pt idx="10">
                  <c:v>0.34100000000000003</c:v>
                </c:pt>
                <c:pt idx="11">
                  <c:v>0.34100000000000003</c:v>
                </c:pt>
                <c:pt idx="12">
                  <c:v>-0.76900000000000002</c:v>
                </c:pt>
                <c:pt idx="13">
                  <c:v>-1.27</c:v>
                </c:pt>
                <c:pt idx="14">
                  <c:v>-1.944</c:v>
                </c:pt>
                <c:pt idx="15">
                  <c:v>-2.8119999999999998</c:v>
                </c:pt>
                <c:pt idx="16">
                  <c:v>-3.347</c:v>
                </c:pt>
                <c:pt idx="17">
                  <c:v>-4.0839999999999996</c:v>
                </c:pt>
                <c:pt idx="18">
                  <c:v>-4.7869999999999999</c:v>
                </c:pt>
                <c:pt idx="19">
                  <c:v>-13.084</c:v>
                </c:pt>
                <c:pt idx="20">
                  <c:v>-31.646000000000001</c:v>
                </c:pt>
                <c:pt idx="21">
                  <c:v>-15.351000000000001</c:v>
                </c:pt>
                <c:pt idx="22">
                  <c:v>-11.116</c:v>
                </c:pt>
                <c:pt idx="23">
                  <c:v>-7.96</c:v>
                </c:pt>
                <c:pt idx="24">
                  <c:v>-6.5389999999999997</c:v>
                </c:pt>
                <c:pt idx="25">
                  <c:v>-5.585</c:v>
                </c:pt>
                <c:pt idx="26">
                  <c:v>-4.673</c:v>
                </c:pt>
                <c:pt idx="27">
                  <c:v>-4.0190000000000001</c:v>
                </c:pt>
                <c:pt idx="28">
                  <c:v>-0.625</c:v>
                </c:pt>
                <c:pt idx="29">
                  <c:v>0.34100000000000003</c:v>
                </c:pt>
                <c:pt idx="30">
                  <c:v>0.34100000000000003</c:v>
                </c:pt>
                <c:pt idx="31">
                  <c:v>0.34100000000000003</c:v>
                </c:pt>
                <c:pt idx="32">
                  <c:v>0.34100000000000003</c:v>
                </c:pt>
                <c:pt idx="33">
                  <c:v>0.34100000000000003</c:v>
                </c:pt>
                <c:pt idx="34">
                  <c:v>0.34100000000000003</c:v>
                </c:pt>
                <c:pt idx="35">
                  <c:v>0.34100000000000003</c:v>
                </c:pt>
                <c:pt idx="36">
                  <c:v>0.34100000000000003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F7A-4549-909F-54B0BC7C41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5375727"/>
        <c:axId val="305373807"/>
      </c:scatterChart>
      <c:valAx>
        <c:axId val="305375727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373807"/>
        <c:crosses val="autoZero"/>
        <c:crossBetween val="midCat"/>
      </c:valAx>
      <c:valAx>
        <c:axId val="305373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3757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113</xdr:col>
      <xdr:colOff>195261</xdr:colOff>
      <xdr:row>59</xdr:row>
      <xdr:rowOff>85725</xdr:rowOff>
    </xdr:from>
    <xdr:to>
      <xdr:col>126</xdr:col>
      <xdr:colOff>171450</xdr:colOff>
      <xdr:row>76</xdr:row>
      <xdr:rowOff>95250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2D56EC01-CF0B-9292-6E7D-38535FBA21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112</xdr:col>
      <xdr:colOff>476249</xdr:colOff>
      <xdr:row>19</xdr:row>
      <xdr:rowOff>85726</xdr:rowOff>
    </xdr:from>
    <xdr:to>
      <xdr:col>126</xdr:col>
      <xdr:colOff>85724</xdr:colOff>
      <xdr:row>47</xdr:row>
      <xdr:rowOff>95250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88B12DD-D22C-7A23-A5A5-3BFC055BFD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92</xdr:col>
      <xdr:colOff>496205</xdr:colOff>
      <xdr:row>27</xdr:row>
      <xdr:rowOff>167911</xdr:rowOff>
    </xdr:from>
    <xdr:to>
      <xdr:col>102</xdr:col>
      <xdr:colOff>471357</xdr:colOff>
      <xdr:row>47</xdr:row>
      <xdr:rowOff>40358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B1253C6-E264-B509-60D7-89E527BB85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76</xdr:col>
      <xdr:colOff>426553</xdr:colOff>
      <xdr:row>26</xdr:row>
      <xdr:rowOff>143816</xdr:rowOff>
    </xdr:from>
    <xdr:to>
      <xdr:col>88</xdr:col>
      <xdr:colOff>190499</xdr:colOff>
      <xdr:row>51</xdr:row>
      <xdr:rowOff>157068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0E292DB-2DCA-9534-338E-9355C9D91F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70</xdr:col>
      <xdr:colOff>176892</xdr:colOff>
      <xdr:row>56</xdr:row>
      <xdr:rowOff>176893</xdr:rowOff>
    </xdr:from>
    <xdr:to>
      <xdr:col>86</xdr:col>
      <xdr:colOff>62591</xdr:colOff>
      <xdr:row>85</xdr:row>
      <xdr:rowOff>5443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ECBA4FB3-DA64-4912-1CB0-51C73B4C48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600075</xdr:colOff>
      <xdr:row>13</xdr:row>
      <xdr:rowOff>133350</xdr:rowOff>
    </xdr:from>
    <xdr:to>
      <xdr:col>20</xdr:col>
      <xdr:colOff>400051</xdr:colOff>
      <xdr:row>37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0D957A0-CDF2-C7DB-E0D7-91EF63329C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761999</xdr:colOff>
      <xdr:row>58</xdr:row>
      <xdr:rowOff>33336</xdr:rowOff>
    </xdr:from>
    <xdr:to>
      <xdr:col>18</xdr:col>
      <xdr:colOff>171450</xdr:colOff>
      <xdr:row>81</xdr:row>
      <xdr:rowOff>133349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1A944D-194E-E10C-68D7-70845E3561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238125</xdr:colOff>
      <xdr:row>86</xdr:row>
      <xdr:rowOff>52387</xdr:rowOff>
    </xdr:from>
    <xdr:to>
      <xdr:col>13</xdr:col>
      <xdr:colOff>1009650</xdr:colOff>
      <xdr:row>100</xdr:row>
      <xdr:rowOff>128587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3AA4504-9169-8F63-0BED-B6B2B77D73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209550</xdr:colOff>
      <xdr:row>86</xdr:row>
      <xdr:rowOff>100012</xdr:rowOff>
    </xdr:from>
    <xdr:to>
      <xdr:col>17</xdr:col>
      <xdr:colOff>342900</xdr:colOff>
      <xdr:row>108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EB99D31-8F92-1BD2-C29A-47FD0CCE91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10</xdr:col>
      <xdr:colOff>438149</xdr:colOff>
      <xdr:row>122</xdr:row>
      <xdr:rowOff>157162</xdr:rowOff>
    </xdr:from>
    <xdr:to>
      <xdr:col>16</xdr:col>
      <xdr:colOff>771524</xdr:colOff>
      <xdr:row>142</xdr:row>
      <xdr:rowOff>76200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FEC852B7-2749-5AB2-E5C3-0891B1E1BD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020F4-81A9-4BCF-AD9D-268AC3FCD90B}">
  <dimension ref="A1:R150"/>
  <sheetViews>
    <sheetView tabSelected="1" topLeftCell="A117" zoomScaleNormal="100" workbookViewId="0">
      <selection activeCell="J126" sqref="J126"/>
    </sheetView>
  </sheetViews>
  <sheetFormatPr defaultRowHeight="15" x14ac:dyDescent="0.25"/>
  <cols>
    <col min="1" max="1" width="12.85546875" customWidth="1"/>
    <col min="2" max="2" width="10.42578125" customWidth="1"/>
    <col min="3" max="3" width="16.42578125" customWidth="1"/>
    <col min="4" max="4" width="15" customWidth="1"/>
    <col min="5" max="5" width="12" customWidth="1"/>
    <col min="6" max="6" width="10.42578125" customWidth="1"/>
    <col min="7" max="7" width="10.28515625" customWidth="1"/>
    <col min="8" max="8" width="18.85546875" customWidth="1"/>
    <col min="13" max="13" width="20.42578125" customWidth="1"/>
    <col min="14" max="14" width="24.7109375" customWidth="1"/>
    <col min="17" max="17" width="15.42578125" customWidth="1"/>
    <col min="18" max="18" width="22" customWidth="1"/>
  </cols>
  <sheetData>
    <row r="1" spans="1:15" x14ac:dyDescent="0.25">
      <c r="A1" t="s">
        <v>0</v>
      </c>
      <c r="B1" t="s">
        <v>1</v>
      </c>
      <c r="C1" t="s">
        <v>3</v>
      </c>
      <c r="D1" t="s">
        <v>4</v>
      </c>
      <c r="E1" t="s">
        <v>2</v>
      </c>
      <c r="F1" t="s">
        <v>5</v>
      </c>
      <c r="G1" t="s">
        <v>6</v>
      </c>
    </row>
    <row r="2" spans="1:15" x14ac:dyDescent="0.25">
      <c r="A2">
        <v>1000</v>
      </c>
      <c r="B2">
        <v>0.14199999999999999</v>
      </c>
      <c r="C2">
        <v>0.14000000000000001</v>
      </c>
      <c r="D2">
        <v>0.14599999999999999</v>
      </c>
      <c r="E2">
        <v>0.14599999999999999</v>
      </c>
      <c r="F2">
        <v>0.14399999999999999</v>
      </c>
      <c r="G2">
        <v>0.11</v>
      </c>
    </row>
    <row r="3" spans="1:15" x14ac:dyDescent="0.25">
      <c r="A3">
        <v>2000</v>
      </c>
      <c r="B3">
        <v>0.27600000000000002</v>
      </c>
      <c r="C3">
        <v>0.27600000000000002</v>
      </c>
      <c r="D3">
        <v>0.27600000000000002</v>
      </c>
      <c r="E3">
        <v>0.27600000000000002</v>
      </c>
      <c r="F3">
        <v>0.27600000000000002</v>
      </c>
      <c r="G3">
        <v>0.27600000000000002</v>
      </c>
      <c r="N3" t="s">
        <v>7</v>
      </c>
      <c r="O3" t="s">
        <v>8</v>
      </c>
    </row>
    <row r="4" spans="1:15" x14ac:dyDescent="0.25">
      <c r="A4">
        <v>3000</v>
      </c>
      <c r="B4">
        <v>0.42399999999999999</v>
      </c>
      <c r="C4">
        <v>0.432</v>
      </c>
      <c r="D4">
        <v>0.44</v>
      </c>
      <c r="E4">
        <v>0.42199999999999999</v>
      </c>
      <c r="F4">
        <v>0.41399999999999998</v>
      </c>
      <c r="G4">
        <v>0.41599999999999998</v>
      </c>
      <c r="N4">
        <v>0.1</v>
      </c>
      <c r="O4">
        <v>1.278</v>
      </c>
    </row>
    <row r="5" spans="1:15" x14ac:dyDescent="0.25">
      <c r="A5">
        <v>4000</v>
      </c>
      <c r="B5">
        <v>0.59199999999999997</v>
      </c>
      <c r="C5">
        <v>0.57599999999999996</v>
      </c>
      <c r="D5">
        <v>0.58099999999999996</v>
      </c>
      <c r="E5">
        <v>0.57999999999999996</v>
      </c>
      <c r="F5">
        <v>0.57599999999999996</v>
      </c>
      <c r="G5">
        <v>0.57599999999999996</v>
      </c>
      <c r="N5">
        <v>0.2</v>
      </c>
      <c r="O5">
        <v>1.2649999999999999</v>
      </c>
    </row>
    <row r="6" spans="1:15" x14ac:dyDescent="0.25">
      <c r="A6">
        <v>5000</v>
      </c>
      <c r="B6">
        <v>0.76</v>
      </c>
      <c r="C6">
        <v>0.752</v>
      </c>
      <c r="D6">
        <v>0.72</v>
      </c>
      <c r="E6">
        <v>0.72</v>
      </c>
      <c r="F6">
        <v>0.72</v>
      </c>
      <c r="G6">
        <v>0.72799999999999998</v>
      </c>
      <c r="N6">
        <v>0.3</v>
      </c>
      <c r="O6">
        <v>1.2929999999999999</v>
      </c>
    </row>
    <row r="7" spans="1:15" x14ac:dyDescent="0.25">
      <c r="A7">
        <v>6000</v>
      </c>
      <c r="B7">
        <v>0.93600000000000005</v>
      </c>
      <c r="C7">
        <v>0.92</v>
      </c>
      <c r="D7">
        <v>0.96</v>
      </c>
      <c r="E7">
        <v>0.9</v>
      </c>
      <c r="F7">
        <v>0.90469999999999995</v>
      </c>
      <c r="G7">
        <v>0.88</v>
      </c>
      <c r="N7">
        <v>0.4</v>
      </c>
      <c r="O7">
        <v>1.2989999999999999</v>
      </c>
    </row>
    <row r="8" spans="1:15" x14ac:dyDescent="0.25">
      <c r="A8">
        <v>7000</v>
      </c>
      <c r="B8">
        <v>1.1499999999999999</v>
      </c>
      <c r="C8">
        <v>1.1200000000000001</v>
      </c>
      <c r="D8">
        <v>1.1000000000000001</v>
      </c>
      <c r="E8">
        <v>1.08</v>
      </c>
      <c r="F8">
        <v>1.06</v>
      </c>
      <c r="G8">
        <v>0.90400000000000003</v>
      </c>
      <c r="N8">
        <v>0.5</v>
      </c>
      <c r="O8">
        <v>1.302</v>
      </c>
    </row>
    <row r="9" spans="1:15" x14ac:dyDescent="0.25">
      <c r="A9">
        <v>8000</v>
      </c>
      <c r="B9">
        <v>1.36</v>
      </c>
      <c r="C9">
        <v>1.32</v>
      </c>
      <c r="D9">
        <v>1.28</v>
      </c>
      <c r="E9">
        <v>1.22</v>
      </c>
      <c r="F9">
        <v>1.23</v>
      </c>
      <c r="G9">
        <v>1.05</v>
      </c>
      <c r="N9">
        <v>0.6</v>
      </c>
      <c r="O9">
        <v>1.302</v>
      </c>
    </row>
    <row r="10" spans="1:15" x14ac:dyDescent="0.25">
      <c r="A10">
        <v>9000</v>
      </c>
      <c r="B10">
        <v>1.54</v>
      </c>
      <c r="C10">
        <v>1.5</v>
      </c>
      <c r="D10">
        <v>1.44</v>
      </c>
      <c r="E10">
        <v>1.42</v>
      </c>
      <c r="F10">
        <v>1.39</v>
      </c>
      <c r="G10">
        <v>1.21</v>
      </c>
      <c r="N10">
        <v>0.7</v>
      </c>
      <c r="O10">
        <v>1.306</v>
      </c>
    </row>
    <row r="11" spans="1:15" x14ac:dyDescent="0.25">
      <c r="A11">
        <v>10000</v>
      </c>
      <c r="B11">
        <v>1.74</v>
      </c>
      <c r="C11">
        <v>1.68</v>
      </c>
      <c r="D11">
        <v>1.58</v>
      </c>
      <c r="E11">
        <v>1.5</v>
      </c>
      <c r="F11">
        <v>1.44</v>
      </c>
      <c r="G11">
        <v>1.35</v>
      </c>
      <c r="N11">
        <v>0.8</v>
      </c>
      <c r="O11">
        <v>1.3089999999999999</v>
      </c>
    </row>
    <row r="12" spans="1:15" x14ac:dyDescent="0.25">
      <c r="A12">
        <v>11000</v>
      </c>
      <c r="B12">
        <v>1.86</v>
      </c>
      <c r="C12">
        <v>1.78</v>
      </c>
      <c r="D12">
        <v>1.66</v>
      </c>
      <c r="E12">
        <v>1.62</v>
      </c>
      <c r="F12">
        <v>1.59</v>
      </c>
      <c r="G12">
        <v>1.45</v>
      </c>
      <c r="N12">
        <v>0.9</v>
      </c>
      <c r="O12">
        <v>1.3149999999999999</v>
      </c>
    </row>
    <row r="13" spans="1:15" x14ac:dyDescent="0.25">
      <c r="A13">
        <v>12000</v>
      </c>
      <c r="B13">
        <v>1.9</v>
      </c>
      <c r="C13">
        <v>1.82</v>
      </c>
      <c r="D13">
        <v>1.72</v>
      </c>
      <c r="E13">
        <v>1.64</v>
      </c>
      <c r="F13">
        <v>1.6</v>
      </c>
      <c r="G13">
        <v>1.52</v>
      </c>
    </row>
    <row r="14" spans="1:15" x14ac:dyDescent="0.25">
      <c r="A14">
        <v>13000</v>
      </c>
      <c r="B14">
        <v>1.85</v>
      </c>
      <c r="C14">
        <v>1.79</v>
      </c>
      <c r="D14">
        <v>1.66</v>
      </c>
      <c r="E14">
        <v>1.6</v>
      </c>
      <c r="F14">
        <v>1.58</v>
      </c>
      <c r="G14">
        <v>1.55</v>
      </c>
    </row>
    <row r="15" spans="1:15" x14ac:dyDescent="0.25">
      <c r="A15">
        <v>14000</v>
      </c>
      <c r="B15">
        <v>1.77</v>
      </c>
      <c r="C15">
        <v>1.69</v>
      </c>
      <c r="D15">
        <v>1.62</v>
      </c>
      <c r="E15">
        <v>1.56</v>
      </c>
      <c r="F15">
        <v>1.52</v>
      </c>
      <c r="G15">
        <v>1.53</v>
      </c>
    </row>
    <row r="16" spans="1:15" x14ac:dyDescent="0.25">
      <c r="A16">
        <v>15000</v>
      </c>
      <c r="B16">
        <v>1.66</v>
      </c>
      <c r="C16">
        <v>1.6</v>
      </c>
      <c r="D16">
        <v>1.54</v>
      </c>
      <c r="E16">
        <v>1.46</v>
      </c>
      <c r="F16">
        <v>1.44</v>
      </c>
      <c r="G16">
        <v>1.49</v>
      </c>
    </row>
    <row r="17" spans="1:7" x14ac:dyDescent="0.25">
      <c r="A17">
        <v>16000</v>
      </c>
      <c r="B17">
        <v>1.54</v>
      </c>
      <c r="C17">
        <v>1.5</v>
      </c>
      <c r="D17">
        <v>1.42</v>
      </c>
      <c r="E17">
        <v>1.36</v>
      </c>
      <c r="F17">
        <v>1.36</v>
      </c>
      <c r="G17">
        <v>1.42</v>
      </c>
    </row>
    <row r="18" spans="1:7" x14ac:dyDescent="0.25">
      <c r="A18">
        <v>17000</v>
      </c>
      <c r="B18">
        <v>1.43</v>
      </c>
      <c r="C18">
        <v>1.4</v>
      </c>
      <c r="D18">
        <v>1.32</v>
      </c>
      <c r="E18">
        <v>1.31</v>
      </c>
      <c r="F18">
        <v>1.29</v>
      </c>
      <c r="G18">
        <v>1.34</v>
      </c>
    </row>
    <row r="19" spans="1:7" x14ac:dyDescent="0.25">
      <c r="A19">
        <v>18000</v>
      </c>
      <c r="B19">
        <v>1.32</v>
      </c>
      <c r="C19">
        <v>1.28</v>
      </c>
      <c r="D19">
        <v>1.28</v>
      </c>
      <c r="E19">
        <v>1.22</v>
      </c>
      <c r="F19">
        <v>1.21</v>
      </c>
      <c r="G19">
        <v>1.24</v>
      </c>
    </row>
    <row r="20" spans="1:7" x14ac:dyDescent="0.25">
      <c r="A20">
        <v>19000</v>
      </c>
      <c r="B20">
        <v>1.24</v>
      </c>
      <c r="C20">
        <v>1.21</v>
      </c>
      <c r="D20">
        <v>1.18</v>
      </c>
      <c r="E20">
        <v>1.1399999999999999</v>
      </c>
      <c r="F20">
        <v>1.1399999999999999</v>
      </c>
      <c r="G20">
        <v>1.2</v>
      </c>
    </row>
    <row r="21" spans="1:7" x14ac:dyDescent="0.25">
      <c r="A21">
        <v>20000</v>
      </c>
      <c r="B21">
        <v>1.1499999999999999</v>
      </c>
      <c r="C21">
        <v>1.1399999999999999</v>
      </c>
      <c r="D21">
        <v>1.1000000000000001</v>
      </c>
      <c r="E21">
        <v>1.1000000000000001</v>
      </c>
      <c r="F21">
        <v>1.07</v>
      </c>
      <c r="G21">
        <v>1.1200000000000001</v>
      </c>
    </row>
    <row r="22" spans="1:7" x14ac:dyDescent="0.25">
      <c r="A22">
        <v>21000</v>
      </c>
      <c r="B22">
        <v>1.08</v>
      </c>
      <c r="C22">
        <v>1.05</v>
      </c>
      <c r="D22">
        <v>1.04</v>
      </c>
      <c r="E22">
        <v>1.02</v>
      </c>
      <c r="F22">
        <v>1.02</v>
      </c>
      <c r="G22">
        <v>1.05</v>
      </c>
    </row>
    <row r="23" spans="1:7" x14ac:dyDescent="0.25">
      <c r="A23">
        <v>22000</v>
      </c>
      <c r="B23">
        <v>1</v>
      </c>
      <c r="C23">
        <v>1</v>
      </c>
      <c r="D23">
        <v>1</v>
      </c>
      <c r="E23">
        <v>0.96</v>
      </c>
      <c r="F23">
        <v>0.96799999999999997</v>
      </c>
      <c r="G23">
        <v>1</v>
      </c>
    </row>
    <row r="24" spans="1:7" x14ac:dyDescent="0.25">
      <c r="A24">
        <v>23000</v>
      </c>
      <c r="B24">
        <v>0.96</v>
      </c>
      <c r="C24">
        <v>0.95199999999999996</v>
      </c>
      <c r="D24">
        <v>0.99480000000000002</v>
      </c>
      <c r="E24">
        <v>0.9</v>
      </c>
      <c r="F24">
        <v>0.91200000000000003</v>
      </c>
      <c r="G24">
        <v>0.96</v>
      </c>
    </row>
    <row r="25" spans="1:7" x14ac:dyDescent="0.25">
      <c r="A25">
        <v>24000</v>
      </c>
      <c r="B25">
        <v>0.9</v>
      </c>
      <c r="C25">
        <v>0.90400000000000003</v>
      </c>
      <c r="D25">
        <v>0.88</v>
      </c>
      <c r="E25">
        <v>0.86</v>
      </c>
      <c r="F25">
        <v>0.872</v>
      </c>
      <c r="G25">
        <v>0.91200000000000003</v>
      </c>
    </row>
    <row r="26" spans="1:7" x14ac:dyDescent="0.25">
      <c r="A26">
        <v>25000</v>
      </c>
      <c r="B26">
        <v>0.66</v>
      </c>
      <c r="C26">
        <v>0.84799999999999998</v>
      </c>
      <c r="D26">
        <v>0.82</v>
      </c>
      <c r="E26">
        <v>0.82</v>
      </c>
      <c r="F26">
        <v>0.82</v>
      </c>
      <c r="G26">
        <v>0.81599999999999995</v>
      </c>
    </row>
    <row r="27" spans="1:7" x14ac:dyDescent="0.25">
      <c r="D27">
        <f>MAX(D2:D26)</f>
        <v>1.72</v>
      </c>
    </row>
    <row r="32" spans="1:7" x14ac:dyDescent="0.25">
      <c r="A32">
        <v>10000</v>
      </c>
      <c r="B32">
        <v>1000</v>
      </c>
    </row>
    <row r="33" spans="1:18" x14ac:dyDescent="0.25">
      <c r="A33">
        <v>10300</v>
      </c>
      <c r="B33">
        <v>1050</v>
      </c>
    </row>
    <row r="34" spans="1:18" x14ac:dyDescent="0.25">
      <c r="A34">
        <v>10500</v>
      </c>
      <c r="B34">
        <v>1100</v>
      </c>
    </row>
    <row r="35" spans="1:18" x14ac:dyDescent="0.25">
      <c r="A35">
        <v>11500</v>
      </c>
      <c r="B35">
        <v>1150</v>
      </c>
    </row>
    <row r="36" spans="1:18" x14ac:dyDescent="0.25">
      <c r="A36">
        <v>12000</v>
      </c>
      <c r="B36">
        <v>1200</v>
      </c>
    </row>
    <row r="37" spans="1:18" x14ac:dyDescent="0.25">
      <c r="A37">
        <v>12500</v>
      </c>
      <c r="B37">
        <v>1250</v>
      </c>
    </row>
    <row r="43" spans="1:18" x14ac:dyDescent="0.25">
      <c r="A43">
        <v>0.13</v>
      </c>
      <c r="B43">
        <v>2500</v>
      </c>
    </row>
    <row r="44" spans="1:18" ht="30" x14ac:dyDescent="0.25">
      <c r="A44">
        <v>0.17</v>
      </c>
      <c r="B44">
        <v>4900</v>
      </c>
      <c r="H44" t="s">
        <v>9</v>
      </c>
      <c r="I44" t="s">
        <v>10</v>
      </c>
      <c r="L44" s="1" t="s">
        <v>11</v>
      </c>
      <c r="M44" s="1" t="s">
        <v>12</v>
      </c>
      <c r="N44" s="1" t="s">
        <v>13</v>
      </c>
      <c r="P44" s="1" t="s">
        <v>11</v>
      </c>
      <c r="R44" s="1" t="s">
        <v>15</v>
      </c>
    </row>
    <row r="45" spans="1:18" x14ac:dyDescent="0.25">
      <c r="A45">
        <v>0.21</v>
      </c>
      <c r="B45">
        <v>8100</v>
      </c>
      <c r="H45">
        <v>10</v>
      </c>
      <c r="I45">
        <v>1.1419999999999999</v>
      </c>
      <c r="L45" s="2">
        <v>10</v>
      </c>
      <c r="M45" s="2">
        <v>3.1606000000000001</v>
      </c>
      <c r="N45" s="2">
        <v>3.0000000000000001E-6</v>
      </c>
      <c r="P45" s="2">
        <v>10</v>
      </c>
      <c r="R45" s="2">
        <v>1.142E-6</v>
      </c>
    </row>
    <row r="46" spans="1:18" x14ac:dyDescent="0.25">
      <c r="A46">
        <v>0.25</v>
      </c>
      <c r="B46">
        <v>12100</v>
      </c>
      <c r="H46">
        <v>20</v>
      </c>
      <c r="I46">
        <v>1.22</v>
      </c>
      <c r="L46" s="2">
        <v>20</v>
      </c>
      <c r="M46" s="2">
        <v>4.3232999999999997</v>
      </c>
      <c r="N46" s="2">
        <v>3.9999999999999998E-6</v>
      </c>
      <c r="P46" s="2">
        <v>20</v>
      </c>
      <c r="R46" s="2">
        <v>1.22E-6</v>
      </c>
    </row>
    <row r="47" spans="1:18" x14ac:dyDescent="0.25">
      <c r="A47">
        <v>0.28000000000000003</v>
      </c>
      <c r="B47">
        <v>16900</v>
      </c>
      <c r="H47">
        <v>30</v>
      </c>
      <c r="I47">
        <v>1.224</v>
      </c>
      <c r="L47" s="2">
        <v>30</v>
      </c>
      <c r="M47" s="2">
        <v>4.7511000000000001</v>
      </c>
      <c r="N47" s="2">
        <v>5.0000000000000004E-6</v>
      </c>
      <c r="P47" s="2">
        <v>30</v>
      </c>
      <c r="R47" s="2">
        <v>1.2240000000000001E-6</v>
      </c>
    </row>
    <row r="48" spans="1:18" x14ac:dyDescent="0.25">
      <c r="A48">
        <v>0.32</v>
      </c>
      <c r="B48">
        <v>22500</v>
      </c>
      <c r="H48">
        <v>40</v>
      </c>
      <c r="I48">
        <v>1.238</v>
      </c>
      <c r="L48" s="2">
        <v>40</v>
      </c>
      <c r="M48" s="2">
        <v>4.9084000000000003</v>
      </c>
      <c r="N48" s="2">
        <v>5.0000000000000004E-6</v>
      </c>
      <c r="P48" s="2">
        <v>40</v>
      </c>
      <c r="R48" s="2">
        <v>1.238E-6</v>
      </c>
    </row>
    <row r="49" spans="8:18" x14ac:dyDescent="0.25">
      <c r="H49">
        <v>50</v>
      </c>
      <c r="I49">
        <v>1.242</v>
      </c>
      <c r="L49" s="2">
        <v>50</v>
      </c>
      <c r="M49" s="2">
        <v>4.9663000000000004</v>
      </c>
      <c r="N49" s="2">
        <v>5.0000000000000004E-6</v>
      </c>
      <c r="P49" s="2">
        <v>50</v>
      </c>
      <c r="R49" s="2">
        <v>1.2419999999999999E-6</v>
      </c>
    </row>
    <row r="50" spans="8:18" x14ac:dyDescent="0.25">
      <c r="H50">
        <v>60</v>
      </c>
      <c r="I50">
        <v>1.2549999999999999</v>
      </c>
      <c r="L50" s="2">
        <v>60</v>
      </c>
      <c r="M50" s="2">
        <v>4.9875999999999996</v>
      </c>
      <c r="N50" s="2">
        <v>5.0000000000000004E-6</v>
      </c>
      <c r="P50" s="2">
        <v>60</v>
      </c>
      <c r="R50" s="2">
        <v>1.2550000000000001E-6</v>
      </c>
    </row>
    <row r="51" spans="8:18" x14ac:dyDescent="0.25">
      <c r="H51">
        <v>70</v>
      </c>
      <c r="I51">
        <v>1.2669999999999999</v>
      </c>
      <c r="L51" s="2">
        <v>70</v>
      </c>
      <c r="M51" s="2">
        <v>4.9954000000000001</v>
      </c>
      <c r="N51" s="2">
        <v>5.0000000000000004E-6</v>
      </c>
      <c r="P51" s="2">
        <v>70</v>
      </c>
      <c r="R51" s="2">
        <v>1.2669999999999999E-6</v>
      </c>
    </row>
    <row r="52" spans="8:18" x14ac:dyDescent="0.25">
      <c r="H52">
        <v>80</v>
      </c>
      <c r="I52">
        <v>1.2749999999999999</v>
      </c>
      <c r="L52" s="2">
        <v>80</v>
      </c>
      <c r="M52" s="2">
        <v>4.9983000000000004</v>
      </c>
      <c r="N52" s="2">
        <v>5.0000000000000004E-6</v>
      </c>
      <c r="P52" s="2">
        <v>80</v>
      </c>
      <c r="R52" s="2">
        <v>1.75E-6</v>
      </c>
    </row>
    <row r="53" spans="8:18" x14ac:dyDescent="0.25">
      <c r="H53">
        <v>90</v>
      </c>
      <c r="I53">
        <v>1.2949999999999999</v>
      </c>
    </row>
    <row r="55" spans="8:18" x14ac:dyDescent="0.25">
      <c r="M55" s="1" t="s">
        <v>14</v>
      </c>
      <c r="N55" t="s">
        <v>16</v>
      </c>
    </row>
    <row r="56" spans="8:18" x14ac:dyDescent="0.25">
      <c r="M56" s="2">
        <v>1.1419999999999999</v>
      </c>
      <c r="N56">
        <v>0.47599999999999998</v>
      </c>
    </row>
    <row r="57" spans="8:18" x14ac:dyDescent="0.25">
      <c r="M57" s="2">
        <v>1.22</v>
      </c>
      <c r="N57">
        <v>0.90600000000000003</v>
      </c>
    </row>
    <row r="58" spans="8:18" x14ac:dyDescent="0.25">
      <c r="M58" s="2">
        <v>1.224</v>
      </c>
      <c r="N58">
        <v>1.296</v>
      </c>
    </row>
    <row r="59" spans="8:18" x14ac:dyDescent="0.25">
      <c r="M59" s="2">
        <v>1.238</v>
      </c>
      <c r="N59">
        <v>1.6479999999999999</v>
      </c>
    </row>
    <row r="60" spans="8:18" x14ac:dyDescent="0.25">
      <c r="M60" s="2">
        <v>1.242</v>
      </c>
      <c r="N60">
        <v>1.9670000000000001</v>
      </c>
    </row>
    <row r="61" spans="8:18" x14ac:dyDescent="0.25">
      <c r="M61" s="2">
        <v>1.2549999999999999</v>
      </c>
      <c r="N61">
        <v>2.2559999999999998</v>
      </c>
    </row>
    <row r="62" spans="8:18" x14ac:dyDescent="0.25">
      <c r="M62" s="2">
        <v>1.2669999999999999</v>
      </c>
      <c r="N62">
        <v>2.5169999999999999</v>
      </c>
    </row>
    <row r="63" spans="8:18" x14ac:dyDescent="0.25">
      <c r="M63" s="2">
        <v>1.2749999999999999</v>
      </c>
      <c r="N63">
        <v>2.7530000000000001</v>
      </c>
    </row>
    <row r="64" spans="8:18" x14ac:dyDescent="0.25">
      <c r="M64">
        <v>1.2949999999999999</v>
      </c>
      <c r="N64">
        <v>2.9670000000000001</v>
      </c>
    </row>
    <row r="88" spans="3:6" x14ac:dyDescent="0.25">
      <c r="C88" t="s">
        <v>17</v>
      </c>
      <c r="D88" t="s">
        <v>18</v>
      </c>
      <c r="E88" t="s">
        <v>19</v>
      </c>
      <c r="F88" t="s">
        <v>18</v>
      </c>
    </row>
    <row r="89" spans="3:6" x14ac:dyDescent="0.25">
      <c r="C89">
        <v>0</v>
      </c>
      <c r="D89">
        <v>5.431</v>
      </c>
      <c r="E89">
        <v>4.7510000000000003</v>
      </c>
      <c r="F89">
        <v>6.0510000000000002</v>
      </c>
    </row>
    <row r="90" spans="3:6" x14ac:dyDescent="0.25">
      <c r="C90">
        <v>5</v>
      </c>
      <c r="D90">
        <v>5.423</v>
      </c>
      <c r="E90">
        <v>5.0860000000000003</v>
      </c>
      <c r="F90">
        <v>6.0460000000000003</v>
      </c>
    </row>
    <row r="91" spans="3:6" x14ac:dyDescent="0.25">
      <c r="C91">
        <v>10</v>
      </c>
      <c r="D91">
        <v>5.74</v>
      </c>
      <c r="E91">
        <v>5.0039999999999996</v>
      </c>
      <c r="F91">
        <v>6.2629999999999999</v>
      </c>
    </row>
    <row r="92" spans="3:6" x14ac:dyDescent="0.25">
      <c r="C92">
        <v>15</v>
      </c>
      <c r="D92">
        <v>5.8639999999999999</v>
      </c>
      <c r="E92">
        <v>5.3239999999999998</v>
      </c>
      <c r="F92">
        <v>6.3070000000000004</v>
      </c>
    </row>
    <row r="93" spans="3:6" x14ac:dyDescent="0.25">
      <c r="C93">
        <v>20</v>
      </c>
      <c r="D93">
        <v>5.923</v>
      </c>
      <c r="E93">
        <v>5.5309999999999997</v>
      </c>
      <c r="F93">
        <v>6.4509999999999996</v>
      </c>
    </row>
    <row r="94" spans="3:6" x14ac:dyDescent="0.25">
      <c r="C94">
        <v>25</v>
      </c>
      <c r="D94">
        <v>6.1269999999999998</v>
      </c>
      <c r="E94">
        <v>5.7960000000000003</v>
      </c>
      <c r="F94">
        <v>6.7610000000000001</v>
      </c>
    </row>
    <row r="95" spans="3:6" x14ac:dyDescent="0.25">
      <c r="C95">
        <v>30</v>
      </c>
      <c r="D95">
        <v>6.2389999999999999</v>
      </c>
      <c r="E95">
        <v>5.7510000000000003</v>
      </c>
      <c r="F95">
        <v>6.9550000000000001</v>
      </c>
    </row>
    <row r="96" spans="3:6" x14ac:dyDescent="0.25">
      <c r="C96">
        <v>35</v>
      </c>
      <c r="D96">
        <v>6.75</v>
      </c>
      <c r="E96">
        <v>5.6669999999999998</v>
      </c>
      <c r="F96">
        <v>7.0019999999999998</v>
      </c>
    </row>
    <row r="97" spans="3:6" x14ac:dyDescent="0.25">
      <c r="C97">
        <v>40</v>
      </c>
      <c r="D97">
        <v>6.9409999999999998</v>
      </c>
      <c r="E97">
        <v>5.7910000000000004</v>
      </c>
      <c r="F97">
        <v>7.02</v>
      </c>
    </row>
    <row r="98" spans="3:6" x14ac:dyDescent="0.25">
      <c r="C98">
        <v>45</v>
      </c>
      <c r="D98">
        <v>7.0039999999999996</v>
      </c>
      <c r="E98">
        <v>6.4189999999999996</v>
      </c>
      <c r="F98">
        <v>7.2919999999999998</v>
      </c>
    </row>
    <row r="99" spans="3:6" x14ac:dyDescent="0.25">
      <c r="C99">
        <v>50</v>
      </c>
      <c r="D99">
        <v>6.7220000000000004</v>
      </c>
      <c r="E99">
        <v>5.9240000000000004</v>
      </c>
      <c r="F99">
        <v>7.5090000000000003</v>
      </c>
    </row>
    <row r="100" spans="3:6" x14ac:dyDescent="0.25">
      <c r="C100">
        <v>55</v>
      </c>
      <c r="D100">
        <v>7.0039999999999996</v>
      </c>
      <c r="E100">
        <v>6.0039999999999996</v>
      </c>
      <c r="F100">
        <v>7.4509999999999996</v>
      </c>
    </row>
    <row r="101" spans="3:6" x14ac:dyDescent="0.25">
      <c r="C101">
        <v>60</v>
      </c>
      <c r="D101">
        <v>7.1929999999999996</v>
      </c>
      <c r="E101">
        <v>6.4169999999999998</v>
      </c>
      <c r="F101">
        <v>7.7290000000000001</v>
      </c>
    </row>
    <row r="102" spans="3:6" x14ac:dyDescent="0.25">
      <c r="C102">
        <v>65</v>
      </c>
      <c r="D102">
        <v>7.3209999999999997</v>
      </c>
      <c r="E102">
        <v>6.88</v>
      </c>
      <c r="F102">
        <v>7.86</v>
      </c>
    </row>
    <row r="103" spans="3:6" x14ac:dyDescent="0.25">
      <c r="C103">
        <v>70</v>
      </c>
      <c r="D103">
        <v>7.4660000000000002</v>
      </c>
      <c r="E103">
        <v>6.9420000000000002</v>
      </c>
      <c r="F103">
        <v>8.0609999999999999</v>
      </c>
    </row>
    <row r="104" spans="3:6" x14ac:dyDescent="0.25">
      <c r="C104">
        <v>75</v>
      </c>
      <c r="D104">
        <v>7.5060000000000002</v>
      </c>
      <c r="E104">
        <v>7.0910000000000002</v>
      </c>
      <c r="F104">
        <v>8.2639999999999993</v>
      </c>
    </row>
    <row r="105" spans="3:6" x14ac:dyDescent="0.25">
      <c r="C105">
        <v>80</v>
      </c>
      <c r="D105">
        <v>7.141</v>
      </c>
      <c r="E105">
        <v>7.1289999999999996</v>
      </c>
      <c r="F105">
        <v>8.44</v>
      </c>
    </row>
    <row r="106" spans="3:6" x14ac:dyDescent="0.25">
      <c r="C106">
        <v>85</v>
      </c>
      <c r="D106">
        <v>7.7009999999999996</v>
      </c>
      <c r="E106">
        <v>7.2270000000000003</v>
      </c>
      <c r="F106">
        <v>8.5709999999999997</v>
      </c>
    </row>
    <row r="107" spans="3:6" x14ac:dyDescent="0.25">
      <c r="C107">
        <v>90</v>
      </c>
      <c r="D107">
        <v>7.9219999999999997</v>
      </c>
      <c r="E107">
        <v>7.3410000000000002</v>
      </c>
      <c r="F107">
        <v>8.6310000000000002</v>
      </c>
    </row>
    <row r="113" spans="3:11" ht="45" x14ac:dyDescent="0.25">
      <c r="C113" t="s">
        <v>20</v>
      </c>
      <c r="D113" t="s">
        <v>21</v>
      </c>
      <c r="H113" s="1" t="s">
        <v>22</v>
      </c>
      <c r="I113" s="1" t="s">
        <v>23</v>
      </c>
      <c r="J113" s="1" t="s">
        <v>24</v>
      </c>
      <c r="K113" s="1" t="s">
        <v>25</v>
      </c>
    </row>
    <row r="114" spans="3:11" x14ac:dyDescent="0.25">
      <c r="C114">
        <v>10</v>
      </c>
      <c r="D114">
        <v>1040</v>
      </c>
      <c r="H114" s="2">
        <v>10</v>
      </c>
      <c r="I114" s="2">
        <v>1040</v>
      </c>
      <c r="J114" s="2">
        <v>1.04</v>
      </c>
      <c r="K114" s="2">
        <v>0.34100000000000003</v>
      </c>
    </row>
    <row r="115" spans="3:11" x14ac:dyDescent="0.25">
      <c r="C115">
        <v>20</v>
      </c>
      <c r="D115">
        <v>1040</v>
      </c>
      <c r="H115" s="2">
        <v>20</v>
      </c>
      <c r="I115" s="2">
        <v>1040</v>
      </c>
      <c r="J115" s="2">
        <v>1.04</v>
      </c>
      <c r="K115" s="2">
        <v>0.34100000000000003</v>
      </c>
    </row>
    <row r="116" spans="3:11" x14ac:dyDescent="0.25">
      <c r="C116">
        <v>30</v>
      </c>
      <c r="D116">
        <v>1040</v>
      </c>
      <c r="H116" s="2">
        <v>30</v>
      </c>
      <c r="I116" s="2">
        <v>1040</v>
      </c>
      <c r="J116" s="2">
        <v>1.04</v>
      </c>
      <c r="K116" s="2">
        <v>0.34100000000000003</v>
      </c>
    </row>
    <row r="117" spans="3:11" x14ac:dyDescent="0.25">
      <c r="C117">
        <v>40</v>
      </c>
      <c r="D117">
        <v>1040</v>
      </c>
      <c r="H117" s="2">
        <v>40</v>
      </c>
      <c r="I117" s="2">
        <v>1040</v>
      </c>
      <c r="J117" s="2">
        <v>1.04</v>
      </c>
      <c r="K117" s="2">
        <v>0.34100000000000003</v>
      </c>
    </row>
    <row r="118" spans="3:11" x14ac:dyDescent="0.25">
      <c r="C118">
        <v>50</v>
      </c>
      <c r="D118">
        <v>1040</v>
      </c>
      <c r="H118" s="2">
        <v>50</v>
      </c>
      <c r="I118" s="2">
        <v>1040</v>
      </c>
      <c r="J118" s="2">
        <v>1.04</v>
      </c>
      <c r="K118" s="2">
        <v>0.34100000000000003</v>
      </c>
    </row>
    <row r="119" spans="3:11" x14ac:dyDescent="0.25">
      <c r="C119">
        <v>60</v>
      </c>
      <c r="D119">
        <v>1040</v>
      </c>
      <c r="H119" s="2">
        <v>60</v>
      </c>
      <c r="I119" s="2">
        <v>1040</v>
      </c>
      <c r="J119" s="2">
        <v>1.04</v>
      </c>
      <c r="K119" s="2">
        <v>0.34100000000000003</v>
      </c>
    </row>
    <row r="120" spans="3:11" x14ac:dyDescent="0.25">
      <c r="C120">
        <v>70</v>
      </c>
      <c r="D120">
        <v>1040</v>
      </c>
      <c r="H120" s="2">
        <v>70</v>
      </c>
      <c r="I120" s="2">
        <v>1040</v>
      </c>
      <c r="J120" s="2">
        <v>1.04</v>
      </c>
      <c r="K120" s="2">
        <v>0.34100000000000003</v>
      </c>
    </row>
    <row r="121" spans="3:11" x14ac:dyDescent="0.25">
      <c r="C121">
        <v>80</v>
      </c>
      <c r="D121">
        <v>1040</v>
      </c>
      <c r="H121" s="2">
        <v>80</v>
      </c>
      <c r="I121" s="2">
        <v>1040</v>
      </c>
      <c r="J121" s="2">
        <v>1.04</v>
      </c>
      <c r="K121" s="2">
        <v>0.34100000000000003</v>
      </c>
    </row>
    <row r="122" spans="3:11" x14ac:dyDescent="0.25">
      <c r="C122">
        <v>90</v>
      </c>
      <c r="D122">
        <v>1040</v>
      </c>
      <c r="H122" s="2">
        <v>90</v>
      </c>
      <c r="I122" s="2">
        <v>1040</v>
      </c>
      <c r="J122" s="2">
        <v>1.04</v>
      </c>
      <c r="K122" s="2">
        <v>0.34100000000000003</v>
      </c>
    </row>
    <row r="123" spans="3:11" x14ac:dyDescent="0.25">
      <c r="C123">
        <v>100</v>
      </c>
      <c r="D123">
        <v>1040</v>
      </c>
      <c r="H123" s="2">
        <v>100</v>
      </c>
      <c r="I123" s="2">
        <v>1040</v>
      </c>
      <c r="J123" s="2">
        <v>1.04</v>
      </c>
      <c r="K123" s="2">
        <v>0.34100000000000003</v>
      </c>
    </row>
    <row r="124" spans="3:11" x14ac:dyDescent="0.25">
      <c r="C124">
        <v>200</v>
      </c>
      <c r="D124">
        <v>1040</v>
      </c>
      <c r="H124" s="2">
        <v>200</v>
      </c>
      <c r="I124" s="2">
        <v>1040</v>
      </c>
      <c r="J124" s="2">
        <v>1.04</v>
      </c>
      <c r="K124" s="2">
        <v>0.34100000000000003</v>
      </c>
    </row>
    <row r="125" spans="3:11" x14ac:dyDescent="0.25">
      <c r="C125">
        <v>300</v>
      </c>
      <c r="D125">
        <v>1040</v>
      </c>
      <c r="H125" s="2">
        <v>300</v>
      </c>
      <c r="I125" s="2">
        <v>1040</v>
      </c>
      <c r="J125" s="2">
        <v>1.04</v>
      </c>
      <c r="K125" s="2">
        <v>0.34100000000000003</v>
      </c>
    </row>
    <row r="126" spans="3:11" x14ac:dyDescent="0.25">
      <c r="C126">
        <v>400</v>
      </c>
      <c r="D126">
        <v>920</v>
      </c>
      <c r="H126" s="2">
        <v>400</v>
      </c>
      <c r="I126" s="2">
        <v>920</v>
      </c>
      <c r="J126" s="2">
        <v>0.92</v>
      </c>
      <c r="K126" s="2">
        <v>-0.76900000000000002</v>
      </c>
    </row>
    <row r="127" spans="3:11" x14ac:dyDescent="0.25">
      <c r="C127">
        <v>500</v>
      </c>
      <c r="D127">
        <v>860</v>
      </c>
      <c r="H127" s="2">
        <v>500</v>
      </c>
      <c r="I127" s="2">
        <v>860</v>
      </c>
      <c r="J127" s="2">
        <v>0.86</v>
      </c>
      <c r="K127" s="2">
        <v>-1.27</v>
      </c>
    </row>
    <row r="128" spans="3:11" x14ac:dyDescent="0.25">
      <c r="C128">
        <v>600</v>
      </c>
      <c r="D128">
        <v>780</v>
      </c>
      <c r="H128" s="2">
        <v>600</v>
      </c>
      <c r="I128" s="2">
        <v>780</v>
      </c>
      <c r="J128" s="2">
        <v>0.78</v>
      </c>
      <c r="K128" s="2">
        <v>-1.944</v>
      </c>
    </row>
    <row r="129" spans="3:11" x14ac:dyDescent="0.25">
      <c r="C129">
        <v>700</v>
      </c>
      <c r="D129">
        <v>720</v>
      </c>
      <c r="H129" s="2">
        <v>700</v>
      </c>
      <c r="I129" s="2">
        <v>720</v>
      </c>
      <c r="J129" s="2">
        <v>0.72</v>
      </c>
      <c r="K129" s="2">
        <v>-2.8119999999999998</v>
      </c>
    </row>
    <row r="130" spans="3:11" x14ac:dyDescent="0.25">
      <c r="C130">
        <v>800</v>
      </c>
      <c r="D130">
        <v>680</v>
      </c>
      <c r="H130" s="2">
        <v>800</v>
      </c>
      <c r="I130" s="2">
        <v>680</v>
      </c>
      <c r="J130" s="2">
        <v>0.68</v>
      </c>
      <c r="K130" s="2">
        <v>-3.347</v>
      </c>
    </row>
    <row r="131" spans="3:11" x14ac:dyDescent="0.25">
      <c r="C131">
        <v>900</v>
      </c>
      <c r="D131">
        <v>624</v>
      </c>
      <c r="H131" s="2">
        <v>900</v>
      </c>
      <c r="I131" s="2">
        <v>624</v>
      </c>
      <c r="J131" s="2">
        <v>0.624</v>
      </c>
      <c r="K131" s="2">
        <v>-4.0839999999999996</v>
      </c>
    </row>
    <row r="132" spans="3:11" x14ac:dyDescent="0.25">
      <c r="C132">
        <v>1000</v>
      </c>
      <c r="D132">
        <v>580</v>
      </c>
      <c r="H132" s="2">
        <v>1000</v>
      </c>
      <c r="I132" s="2">
        <v>580</v>
      </c>
      <c r="J132" s="2">
        <v>0.57999999999999996</v>
      </c>
      <c r="K132" s="2">
        <v>-4.7869999999999999</v>
      </c>
    </row>
    <row r="133" spans="3:11" x14ac:dyDescent="0.25">
      <c r="C133">
        <v>2000</v>
      </c>
      <c r="D133">
        <v>220</v>
      </c>
      <c r="H133" s="2">
        <v>2000</v>
      </c>
      <c r="I133" s="2">
        <v>220</v>
      </c>
      <c r="J133" s="2">
        <v>0.22</v>
      </c>
      <c r="K133" s="2">
        <v>-13.084</v>
      </c>
    </row>
    <row r="134" spans="3:11" x14ac:dyDescent="0.25">
      <c r="C134">
        <v>3000</v>
      </c>
      <c r="D134">
        <v>26</v>
      </c>
      <c r="H134" s="2">
        <v>3000</v>
      </c>
      <c r="I134" s="2">
        <v>26</v>
      </c>
      <c r="J134" s="2">
        <v>2.5999999999999999E-2</v>
      </c>
      <c r="K134" s="2">
        <v>-31.646000000000001</v>
      </c>
    </row>
    <row r="135" spans="3:11" x14ac:dyDescent="0.25">
      <c r="C135">
        <v>4000</v>
      </c>
      <c r="D135">
        <v>170</v>
      </c>
      <c r="H135" s="2">
        <v>4000</v>
      </c>
      <c r="I135" s="2">
        <v>170</v>
      </c>
      <c r="J135" s="2">
        <v>0.17</v>
      </c>
      <c r="K135" s="2">
        <v>-15.351000000000001</v>
      </c>
    </row>
    <row r="136" spans="3:11" x14ac:dyDescent="0.25">
      <c r="C136">
        <v>5000</v>
      </c>
      <c r="D136">
        <v>278</v>
      </c>
      <c r="H136" s="2">
        <v>5000</v>
      </c>
      <c r="I136" s="2">
        <v>278</v>
      </c>
      <c r="J136" s="2">
        <v>0.27800000000000002</v>
      </c>
      <c r="K136" s="2">
        <v>-11.116</v>
      </c>
    </row>
    <row r="137" spans="3:11" x14ac:dyDescent="0.25">
      <c r="C137">
        <v>6000</v>
      </c>
      <c r="D137">
        <v>400</v>
      </c>
      <c r="H137" s="2">
        <v>6000</v>
      </c>
      <c r="I137" s="2">
        <v>400</v>
      </c>
      <c r="J137" s="2">
        <v>0.4</v>
      </c>
      <c r="K137" s="2">
        <v>-7.96</v>
      </c>
    </row>
    <row r="138" spans="3:11" x14ac:dyDescent="0.25">
      <c r="C138">
        <v>7000</v>
      </c>
      <c r="D138">
        <v>472</v>
      </c>
      <c r="H138" s="2">
        <v>7000</v>
      </c>
      <c r="I138" s="2">
        <v>472</v>
      </c>
      <c r="J138" s="2">
        <v>0.47199999999999998</v>
      </c>
      <c r="K138" s="2">
        <v>-6.5389999999999997</v>
      </c>
    </row>
    <row r="139" spans="3:11" x14ac:dyDescent="0.25">
      <c r="C139">
        <v>8000</v>
      </c>
      <c r="D139">
        <v>528</v>
      </c>
      <c r="H139" s="2">
        <v>8000</v>
      </c>
      <c r="I139" s="2">
        <v>528</v>
      </c>
      <c r="J139" s="2">
        <v>0.52800000000000002</v>
      </c>
      <c r="K139" s="2">
        <v>-5.585</v>
      </c>
    </row>
    <row r="140" spans="3:11" x14ac:dyDescent="0.25">
      <c r="C140">
        <v>9000</v>
      </c>
      <c r="D140">
        <v>584</v>
      </c>
      <c r="H140" s="2">
        <v>9000</v>
      </c>
      <c r="I140" s="2">
        <v>584</v>
      </c>
      <c r="J140" s="2">
        <v>0.58399999999999996</v>
      </c>
      <c r="K140" s="2">
        <v>-4.673</v>
      </c>
    </row>
    <row r="141" spans="3:11" x14ac:dyDescent="0.25">
      <c r="C141">
        <v>10000</v>
      </c>
      <c r="D141">
        <v>630</v>
      </c>
      <c r="H141" s="2">
        <v>10000</v>
      </c>
      <c r="I141" s="2">
        <v>630</v>
      </c>
      <c r="J141" s="2">
        <v>0.63</v>
      </c>
      <c r="K141" s="2">
        <v>-4.0190000000000001</v>
      </c>
    </row>
    <row r="142" spans="3:11" x14ac:dyDescent="0.25">
      <c r="C142">
        <v>20000</v>
      </c>
      <c r="D142">
        <v>940</v>
      </c>
      <c r="H142" s="2">
        <v>20000</v>
      </c>
      <c r="I142" s="2">
        <v>940</v>
      </c>
      <c r="J142" s="2">
        <v>0.94</v>
      </c>
      <c r="K142" s="2">
        <v>-0.625</v>
      </c>
    </row>
    <row r="143" spans="3:11" x14ac:dyDescent="0.25">
      <c r="C143">
        <v>30000</v>
      </c>
      <c r="D143">
        <v>1040</v>
      </c>
      <c r="H143" s="2">
        <v>30000</v>
      </c>
      <c r="I143" s="2">
        <v>1040</v>
      </c>
      <c r="J143" s="2">
        <v>1.04</v>
      </c>
      <c r="K143" s="2">
        <v>0.34100000000000003</v>
      </c>
    </row>
    <row r="144" spans="3:11" x14ac:dyDescent="0.25">
      <c r="C144">
        <v>40000</v>
      </c>
      <c r="D144">
        <v>1040</v>
      </c>
      <c r="H144" s="2">
        <v>40000</v>
      </c>
      <c r="I144" s="2">
        <v>1040</v>
      </c>
      <c r="J144" s="2">
        <v>1.04</v>
      </c>
      <c r="K144" s="2">
        <v>0.34100000000000003</v>
      </c>
    </row>
    <row r="145" spans="3:11" x14ac:dyDescent="0.25">
      <c r="C145">
        <v>50000</v>
      </c>
      <c r="D145">
        <v>1040</v>
      </c>
      <c r="H145" s="2">
        <v>50000</v>
      </c>
      <c r="I145" s="2">
        <v>1040</v>
      </c>
      <c r="J145" s="2">
        <v>1.04</v>
      </c>
      <c r="K145" s="2">
        <v>0.34100000000000003</v>
      </c>
    </row>
    <row r="146" spans="3:11" x14ac:dyDescent="0.25">
      <c r="C146">
        <v>60000</v>
      </c>
      <c r="D146">
        <v>1040</v>
      </c>
      <c r="H146" s="2">
        <v>60000</v>
      </c>
      <c r="I146" s="2">
        <v>1040</v>
      </c>
      <c r="J146" s="2">
        <v>1.04</v>
      </c>
      <c r="K146" s="2">
        <v>0.34100000000000003</v>
      </c>
    </row>
    <row r="147" spans="3:11" x14ac:dyDescent="0.25">
      <c r="C147">
        <v>70000</v>
      </c>
      <c r="D147">
        <v>1040</v>
      </c>
      <c r="H147" s="2">
        <v>70000</v>
      </c>
      <c r="I147" s="2">
        <v>1040</v>
      </c>
      <c r="J147" s="2">
        <v>1.04</v>
      </c>
      <c r="K147" s="2">
        <v>0.34100000000000003</v>
      </c>
    </row>
    <row r="148" spans="3:11" x14ac:dyDescent="0.25">
      <c r="C148">
        <v>80000</v>
      </c>
      <c r="D148">
        <v>1040</v>
      </c>
      <c r="H148" s="2">
        <v>80000</v>
      </c>
      <c r="I148" s="2">
        <v>1040</v>
      </c>
      <c r="J148" s="2">
        <v>1.04</v>
      </c>
      <c r="K148" s="2">
        <v>0.34100000000000003</v>
      </c>
    </row>
    <row r="149" spans="3:11" x14ac:dyDescent="0.25">
      <c r="C149">
        <v>90000</v>
      </c>
      <c r="D149">
        <v>1040</v>
      </c>
      <c r="H149" s="2">
        <v>90000</v>
      </c>
      <c r="I149" s="2">
        <v>1040</v>
      </c>
      <c r="J149" s="2">
        <v>1.04</v>
      </c>
      <c r="K149" s="2">
        <v>0.34100000000000003</v>
      </c>
    </row>
    <row r="150" spans="3:11" x14ac:dyDescent="0.25">
      <c r="C150">
        <v>100000</v>
      </c>
      <c r="D150">
        <v>1040</v>
      </c>
      <c r="H150" s="2">
        <v>100000</v>
      </c>
      <c r="I150" s="2">
        <v>1040</v>
      </c>
      <c r="J150" s="2">
        <v>1.04</v>
      </c>
      <c r="K150" s="2">
        <v>0.34100000000000003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THAMARA G P D it22345332</dc:creator>
  <cp:lastModifiedBy>THAMARA G P D it22345332</cp:lastModifiedBy>
  <dcterms:created xsi:type="dcterms:W3CDTF">2024-08-02T11:45:38Z</dcterms:created>
  <dcterms:modified xsi:type="dcterms:W3CDTF">2024-12-31T16:19:58Z</dcterms:modified>
</cp:coreProperties>
</file>